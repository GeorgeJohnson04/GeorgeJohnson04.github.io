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/P+Yq5zCG0QfKOCn18wB/YmekYpbIjPjJGqXaPD84I="/>
    </ext>
  </extLst>
</workbook>
</file>

<file path=xl/sharedStrings.xml><?xml version="1.0" encoding="utf-8"?>
<sst xmlns="http://schemas.openxmlformats.org/spreadsheetml/2006/main" count="55" uniqueCount="33">
  <si>
    <t>Key</t>
  </si>
  <si>
    <t>Total Stats</t>
  </si>
  <si>
    <t>Per 10 Stats</t>
  </si>
  <si>
    <t>Ratings</t>
  </si>
  <si>
    <t>Overall Rating</t>
  </si>
  <si>
    <t>Playtime</t>
  </si>
  <si>
    <t>In minutes</t>
  </si>
  <si>
    <t xml:space="preserve">Player name </t>
  </si>
  <si>
    <t>Kills</t>
  </si>
  <si>
    <t>DMG</t>
  </si>
  <si>
    <t>Assist</t>
  </si>
  <si>
    <t>Healing</t>
  </si>
  <si>
    <t>Deaths</t>
  </si>
  <si>
    <t>Wins</t>
  </si>
  <si>
    <t>Loss</t>
  </si>
  <si>
    <t>Win Rate</t>
  </si>
  <si>
    <t>Play Time</t>
  </si>
  <si>
    <t>Tank</t>
  </si>
  <si>
    <t>DPS</t>
  </si>
  <si>
    <t>Support</t>
  </si>
  <si>
    <t xml:space="preserve">Player Name </t>
  </si>
  <si>
    <t>Death</t>
  </si>
  <si>
    <t>Tanks</t>
  </si>
  <si>
    <t>Player Name</t>
  </si>
  <si>
    <t>KR</t>
  </si>
  <si>
    <t>DR</t>
  </si>
  <si>
    <t>AR</t>
  </si>
  <si>
    <t>HR</t>
  </si>
  <si>
    <t>DeR</t>
  </si>
  <si>
    <t>WR</t>
  </si>
  <si>
    <t>Total Rating Before Normal</t>
  </si>
  <si>
    <t>R = Rating</t>
  </si>
  <si>
    <t>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</si>
</sst>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rgb="FFFF000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4" numFmtId="0" xfId="0" applyFont="1"/>
    <xf borderId="2" fillId="0" fontId="3" numFmtId="0" xfId="0" applyBorder="1" applyFont="1"/>
    <xf borderId="3" fillId="2" fontId="2" numFmtId="0" xfId="0" applyBorder="1" applyFont="1"/>
    <xf borderId="3" fillId="2" fontId="2" numFmtId="3" xfId="0" applyBorder="1" applyFont="1" applyNumberFormat="1"/>
    <xf borderId="4" fillId="2" fontId="2" numFmtId="0" xfId="0" applyBorder="1" applyFont="1"/>
    <xf borderId="4" fillId="2" fontId="2" numFmtId="3" xfId="0" applyBorder="1" applyFont="1" applyNumberFormat="1"/>
    <xf borderId="2" fillId="6" fontId="3" numFmtId="0" xfId="0" applyBorder="1" applyFill="1" applyFont="1"/>
    <xf borderId="3" fillId="3" fontId="2" numFmtId="0" xfId="0" applyBorder="1" applyFont="1"/>
    <xf borderId="4" fillId="3" fontId="2" numFmtId="0" xfId="0" applyBorder="1" applyFont="1"/>
    <xf borderId="3" fillId="4" fontId="2" numFmtId="0" xfId="0" applyBorder="1" applyFont="1"/>
    <xf borderId="4" fillId="4" fontId="2" numFmtId="0" xfId="0" applyBorder="1" applyFont="1"/>
    <xf borderId="3" fillId="5" fontId="2" numFmtId="0" xfId="0" applyBorder="1" applyFont="1"/>
    <xf borderId="4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26.25"/>
    <col customWidth="1" min="3" max="3" width="40.25"/>
    <col customWidth="1" min="4" max="4" width="28.5"/>
    <col customWidth="1" min="5" max="5" width="30.38"/>
    <col customWidth="1" min="6" max="6" width="22.13"/>
    <col customWidth="1" min="7" max="7" width="36.0"/>
    <col customWidth="1" min="8" max="8" width="40.38"/>
    <col customWidth="1" min="9" max="9" width="37.88"/>
    <col customWidth="1" min="10" max="10" width="49.88"/>
    <col customWidth="1" min="11" max="25" width="8.63"/>
  </cols>
  <sheetData>
    <row r="1" ht="14.25" customHeight="1">
      <c r="A1" s="1" t="s">
        <v>0</v>
      </c>
    </row>
    <row r="2" ht="14.25" customHeight="1">
      <c r="A2" s="2"/>
      <c r="B2" s="3" t="s">
        <v>1</v>
      </c>
    </row>
    <row r="3" ht="14.25" customHeight="1">
      <c r="A3" s="4"/>
      <c r="B3" s="3" t="s">
        <v>2</v>
      </c>
    </row>
    <row r="4" ht="14.25" customHeight="1">
      <c r="A4" s="5"/>
      <c r="B4" s="3" t="s">
        <v>3</v>
      </c>
    </row>
    <row r="5" ht="14.25" customHeight="1">
      <c r="A5" s="6"/>
      <c r="B5" s="3" t="s">
        <v>4</v>
      </c>
    </row>
    <row r="6" ht="14.25" customHeight="1">
      <c r="A6" s="7" t="s">
        <v>5</v>
      </c>
      <c r="B6" s="3" t="s">
        <v>6</v>
      </c>
    </row>
    <row r="7" ht="14.25" customHeight="1">
      <c r="A7" s="8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  <c r="J7" s="8" t="s">
        <v>16</v>
      </c>
    </row>
    <row r="8" ht="14.25" customHeight="1">
      <c r="A8" s="9" t="s">
        <v>17</v>
      </c>
      <c r="B8" s="9">
        <v>400.0</v>
      </c>
      <c r="C8" s="10">
        <v>276000.0</v>
      </c>
      <c r="D8" s="9">
        <v>285.0</v>
      </c>
      <c r="E8" s="9">
        <v>0.0</v>
      </c>
      <c r="F8" s="9">
        <v>275.0</v>
      </c>
      <c r="G8" s="9">
        <v>22.0</v>
      </c>
      <c r="H8" s="9">
        <v>8.0</v>
      </c>
      <c r="I8" s="9">
        <f t="shared" ref="I8:I12" si="1">1- (H8/(G8+H8))</f>
        <v>0.7333333333</v>
      </c>
      <c r="J8" s="9">
        <v>400.0</v>
      </c>
    </row>
    <row r="9" ht="14.25" customHeight="1">
      <c r="A9" s="11" t="s">
        <v>18</v>
      </c>
      <c r="B9" s="11">
        <v>655.0</v>
      </c>
      <c r="C9" s="12">
        <v>455000.0</v>
      </c>
      <c r="D9" s="11">
        <v>342.0</v>
      </c>
      <c r="E9" s="11">
        <v>0.0</v>
      </c>
      <c r="F9" s="11">
        <v>386.0</v>
      </c>
      <c r="G9" s="11">
        <v>22.0</v>
      </c>
      <c r="H9" s="9">
        <v>8.0</v>
      </c>
      <c r="I9" s="9">
        <f t="shared" si="1"/>
        <v>0.7333333333</v>
      </c>
      <c r="J9" s="11">
        <v>400.0</v>
      </c>
    </row>
    <row r="10" ht="14.25" customHeight="1">
      <c r="A10" s="11" t="s">
        <v>18</v>
      </c>
      <c r="B10" s="11">
        <v>452.0</v>
      </c>
      <c r="C10" s="12">
        <v>321000.0</v>
      </c>
      <c r="D10" s="11">
        <v>240.0</v>
      </c>
      <c r="E10" s="11">
        <v>0.0</v>
      </c>
      <c r="F10" s="11">
        <v>400.0</v>
      </c>
      <c r="G10" s="11">
        <v>22.0</v>
      </c>
      <c r="H10" s="9">
        <v>8.0</v>
      </c>
      <c r="I10" s="9">
        <f t="shared" si="1"/>
        <v>0.7333333333</v>
      </c>
      <c r="J10" s="11">
        <v>400.0</v>
      </c>
    </row>
    <row r="11" ht="14.25" customHeight="1">
      <c r="A11" s="11" t="s">
        <v>19</v>
      </c>
      <c r="B11" s="11">
        <v>422.0</v>
      </c>
      <c r="C11" s="12">
        <v>182000.0</v>
      </c>
      <c r="D11" s="11">
        <v>478.0</v>
      </c>
      <c r="E11" s="12">
        <v>322000.0</v>
      </c>
      <c r="F11" s="11">
        <v>220.0</v>
      </c>
      <c r="G11" s="11">
        <v>22.0</v>
      </c>
      <c r="H11" s="9">
        <v>8.0</v>
      </c>
      <c r="I11" s="9">
        <f t="shared" si="1"/>
        <v>0.7333333333</v>
      </c>
      <c r="J11" s="11">
        <v>400.0</v>
      </c>
    </row>
    <row r="12" ht="14.25" customHeight="1">
      <c r="A12" s="11" t="s">
        <v>19</v>
      </c>
      <c r="B12" s="11">
        <v>376.0</v>
      </c>
      <c r="C12" s="12">
        <v>72000.0</v>
      </c>
      <c r="D12" s="11">
        <v>495.0</v>
      </c>
      <c r="E12" s="12">
        <v>396000.0</v>
      </c>
      <c r="F12" s="11">
        <v>321.0</v>
      </c>
      <c r="G12" s="11">
        <v>22.0</v>
      </c>
      <c r="H12" s="9">
        <v>8.0</v>
      </c>
      <c r="I12" s="9">
        <f t="shared" si="1"/>
        <v>0.7333333333</v>
      </c>
      <c r="J12" s="11">
        <v>400.0</v>
      </c>
    </row>
    <row r="13" ht="14.25" customHeight="1">
      <c r="A13" s="13" t="s">
        <v>20</v>
      </c>
      <c r="B13" s="13" t="s">
        <v>8</v>
      </c>
      <c r="C13" s="13" t="s">
        <v>9</v>
      </c>
      <c r="D13" s="13" t="s">
        <v>10</v>
      </c>
      <c r="E13" s="13" t="s">
        <v>11</v>
      </c>
      <c r="F13" s="13" t="s">
        <v>21</v>
      </c>
      <c r="G13" s="13" t="s">
        <v>15</v>
      </c>
    </row>
    <row r="14" ht="14.25" customHeight="1">
      <c r="A14" s="14" t="s">
        <v>22</v>
      </c>
      <c r="B14" s="14">
        <f t="shared" ref="B14:F14" si="2">(B8/ $J8) * 10</f>
        <v>10</v>
      </c>
      <c r="C14" s="14">
        <f t="shared" si="2"/>
        <v>6900</v>
      </c>
      <c r="D14" s="14">
        <f t="shared" si="2"/>
        <v>7.125</v>
      </c>
      <c r="E14" s="14">
        <f t="shared" si="2"/>
        <v>0</v>
      </c>
      <c r="F14" s="14">
        <f t="shared" si="2"/>
        <v>6.875</v>
      </c>
      <c r="G14" s="14">
        <f t="shared" ref="G14:G18" si="4">I8</f>
        <v>0.7333333333</v>
      </c>
    </row>
    <row r="15" ht="14.25" customHeight="1">
      <c r="A15" s="15" t="s">
        <v>18</v>
      </c>
      <c r="B15" s="14">
        <f t="shared" ref="B15:F15" si="3">(B9/ $J9) * 10</f>
        <v>16.375</v>
      </c>
      <c r="C15" s="14">
        <f t="shared" si="3"/>
        <v>11375</v>
      </c>
      <c r="D15" s="14">
        <f t="shared" si="3"/>
        <v>8.55</v>
      </c>
      <c r="E15" s="14">
        <f t="shared" si="3"/>
        <v>0</v>
      </c>
      <c r="F15" s="14">
        <f t="shared" si="3"/>
        <v>9.65</v>
      </c>
      <c r="G15" s="14">
        <f t="shared" si="4"/>
        <v>0.7333333333</v>
      </c>
    </row>
    <row r="16" ht="14.25" customHeight="1">
      <c r="A16" s="15" t="s">
        <v>18</v>
      </c>
      <c r="B16" s="14">
        <f t="shared" ref="B16:F16" si="5">(B10/ $J10) * 10</f>
        <v>11.3</v>
      </c>
      <c r="C16" s="14">
        <f t="shared" si="5"/>
        <v>8025</v>
      </c>
      <c r="D16" s="14">
        <f t="shared" si="5"/>
        <v>6</v>
      </c>
      <c r="E16" s="14">
        <f t="shared" si="5"/>
        <v>0</v>
      </c>
      <c r="F16" s="14">
        <f t="shared" si="5"/>
        <v>10</v>
      </c>
      <c r="G16" s="14">
        <f t="shared" si="4"/>
        <v>0.7333333333</v>
      </c>
    </row>
    <row r="17" ht="14.25" customHeight="1">
      <c r="A17" s="15" t="s">
        <v>19</v>
      </c>
      <c r="B17" s="14">
        <f t="shared" ref="B17:F17" si="6">(B11/ $J11) * 10</f>
        <v>10.55</v>
      </c>
      <c r="C17" s="14">
        <f t="shared" si="6"/>
        <v>4550</v>
      </c>
      <c r="D17" s="14">
        <f t="shared" si="6"/>
        <v>11.95</v>
      </c>
      <c r="E17" s="14">
        <f t="shared" si="6"/>
        <v>8050</v>
      </c>
      <c r="F17" s="14">
        <f t="shared" si="6"/>
        <v>5.5</v>
      </c>
      <c r="G17" s="14">
        <f t="shared" si="4"/>
        <v>0.7333333333</v>
      </c>
    </row>
    <row r="18" ht="14.25" customHeight="1">
      <c r="A18" s="15" t="s">
        <v>19</v>
      </c>
      <c r="B18" s="14">
        <f t="shared" ref="B18:F18" si="7">(B12/ $J12) * 10</f>
        <v>9.4</v>
      </c>
      <c r="C18" s="14">
        <f t="shared" si="7"/>
        <v>1800</v>
      </c>
      <c r="D18" s="14">
        <f t="shared" si="7"/>
        <v>12.375</v>
      </c>
      <c r="E18" s="14">
        <f t="shared" si="7"/>
        <v>9900</v>
      </c>
      <c r="F18" s="14">
        <f t="shared" si="7"/>
        <v>8.025</v>
      </c>
      <c r="G18" s="14">
        <f t="shared" si="4"/>
        <v>0.7333333333</v>
      </c>
    </row>
    <row r="19" ht="14.25" customHeight="1">
      <c r="A19" s="8" t="s">
        <v>23</v>
      </c>
      <c r="B19" s="8" t="s">
        <v>24</v>
      </c>
      <c r="C19" s="8" t="s">
        <v>25</v>
      </c>
      <c r="D19" s="8" t="s">
        <v>26</v>
      </c>
      <c r="E19" s="8" t="s">
        <v>27</v>
      </c>
      <c r="F19" s="8" t="s">
        <v>28</v>
      </c>
      <c r="G19" s="8" t="s">
        <v>29</v>
      </c>
      <c r="H19" s="8" t="s">
        <v>30</v>
      </c>
      <c r="I19" s="3" t="s">
        <v>31</v>
      </c>
    </row>
    <row r="20" ht="14.25" customHeight="1">
      <c r="A20" s="16" t="s">
        <v>17</v>
      </c>
      <c r="B20" s="16">
        <f>IF(B14&gt;=16, 100, 100 - 3 * ((16 - B14) / 2))</f>
        <v>91</v>
      </c>
      <c r="C20" s="16">
        <f>IF(C14&gt;=10000, 100, 100 - ((10000 - C14) / 1000))</f>
        <v>96.9</v>
      </c>
      <c r="D20" s="16">
        <f>IF(D14&gt;=18, 100, 100 - 2 * (18 - D14))</f>
        <v>78.25</v>
      </c>
      <c r="E20" s="16">
        <v>0.0</v>
      </c>
      <c r="F20" s="16">
        <f>IF(F14&lt;=5, 100, 100 - 3 * (F14 - 5))</f>
        <v>94.375</v>
      </c>
      <c r="G20" s="16">
        <f t="shared" ref="G20:G24" si="8">IF(G14&gt;=0.9, 100, 100 - ((90 - G14 * 100) / 5))</f>
        <v>96.66666667</v>
      </c>
      <c r="H20" s="16">
        <f t="shared" ref="H20:H24" si="9">SUM(C20:G20)</f>
        <v>366.1916667</v>
      </c>
    </row>
    <row r="21" ht="14.25" customHeight="1">
      <c r="A21" s="17" t="s">
        <v>18</v>
      </c>
      <c r="B21" s="17">
        <f t="shared" ref="B21:B22" si="10">IF(B15&gt;=17, 100, 100 - 3 * ((17 - B15) / 1))</f>
        <v>98.125</v>
      </c>
      <c r="C21" s="17">
        <f t="shared" ref="C21:C22" si="11">IF(C15&gt;=12000, 100, 100 - 3 * ((12000 - C15) / 1000))</f>
        <v>98.125</v>
      </c>
      <c r="D21" s="17">
        <f t="shared" ref="D21:D22" si="12">IF(D15&gt;=15, 100, 100 - 2 * (15 - D15))</f>
        <v>87.1</v>
      </c>
      <c r="E21" s="16">
        <v>0.0</v>
      </c>
      <c r="F21" s="17">
        <f t="shared" ref="F21:F24" si="13">IF(F15&lt;=7, 100, 100 - 2 * (F15 - 7))</f>
        <v>94.7</v>
      </c>
      <c r="G21" s="16">
        <f t="shared" si="8"/>
        <v>96.66666667</v>
      </c>
      <c r="H21" s="16">
        <f t="shared" si="9"/>
        <v>376.5916667</v>
      </c>
    </row>
    <row r="22" ht="14.25" customHeight="1">
      <c r="A22" s="17" t="s">
        <v>18</v>
      </c>
      <c r="B22" s="17">
        <f t="shared" si="10"/>
        <v>82.9</v>
      </c>
      <c r="C22" s="17">
        <f t="shared" si="11"/>
        <v>88.075</v>
      </c>
      <c r="D22" s="17">
        <f t="shared" si="12"/>
        <v>82</v>
      </c>
      <c r="E22" s="16">
        <v>0.0</v>
      </c>
      <c r="F22" s="17">
        <f t="shared" si="13"/>
        <v>94</v>
      </c>
      <c r="G22" s="16">
        <f t="shared" si="8"/>
        <v>96.66666667</v>
      </c>
      <c r="H22" s="16">
        <f t="shared" si="9"/>
        <v>360.7416667</v>
      </c>
    </row>
    <row r="23" ht="14.25" customHeight="1">
      <c r="A23" s="17" t="s">
        <v>19</v>
      </c>
      <c r="B23" s="17">
        <f t="shared" ref="B23:B24" si="14">IF(B17&gt;=12, 100, 100 - 3 * ((12 - B17) / 2))</f>
        <v>97.825</v>
      </c>
      <c r="C23" s="17">
        <f t="shared" ref="C23:C24" si="15">IF(C17&gt;=5000, 100, 100 - ((5000 - C17) / 1000))</f>
        <v>99.55</v>
      </c>
      <c r="D23" s="17">
        <f t="shared" ref="D23:D24" si="16">IF(D17&gt;=15, 100, 100 - ((15 - D17) / 3))</f>
        <v>98.98333333</v>
      </c>
      <c r="E23" s="17">
        <f t="shared" ref="E23:E24" si="17">IF(E17&gt;=10000, 100, 100 - 5 * ((10000 - E17) / 1000))</f>
        <v>90.25</v>
      </c>
      <c r="F23" s="17">
        <f t="shared" si="13"/>
        <v>100</v>
      </c>
      <c r="G23" s="16">
        <f t="shared" si="8"/>
        <v>96.66666667</v>
      </c>
      <c r="H23" s="16">
        <f t="shared" si="9"/>
        <v>485.45</v>
      </c>
    </row>
    <row r="24" ht="14.25" customHeight="1">
      <c r="A24" s="17" t="s">
        <v>19</v>
      </c>
      <c r="B24" s="17">
        <f t="shared" si="14"/>
        <v>96.1</v>
      </c>
      <c r="C24" s="17">
        <f t="shared" si="15"/>
        <v>96.8</v>
      </c>
      <c r="D24" s="17">
        <f t="shared" si="16"/>
        <v>99.125</v>
      </c>
      <c r="E24" s="17">
        <f t="shared" si="17"/>
        <v>99.5</v>
      </c>
      <c r="F24" s="17">
        <f t="shared" si="13"/>
        <v>97.95</v>
      </c>
      <c r="G24" s="16">
        <f t="shared" si="8"/>
        <v>96.66666667</v>
      </c>
      <c r="H24" s="16">
        <f t="shared" si="9"/>
        <v>490.0416667</v>
      </c>
    </row>
    <row r="25" ht="14.25" customHeight="1">
      <c r="A25" s="8" t="s">
        <v>23</v>
      </c>
      <c r="B25" s="8" t="s">
        <v>32</v>
      </c>
    </row>
    <row r="26" ht="14.25" customHeight="1">
      <c r="A26" s="18" t="s">
        <v>17</v>
      </c>
      <c r="B26" s="18">
        <f> ((H20 / 500) *100)</f>
        <v>73.23833333</v>
      </c>
    </row>
    <row r="27" ht="14.25" customHeight="1">
      <c r="A27" s="19" t="s">
        <v>18</v>
      </c>
      <c r="B27" s="18">
        <f t="shared" ref="B27:B28" si="18"> ((H21 / 500) *100)</f>
        <v>75.31833333</v>
      </c>
    </row>
    <row r="28" ht="14.25" customHeight="1">
      <c r="A28" s="19" t="s">
        <v>18</v>
      </c>
      <c r="B28" s="18">
        <f t="shared" si="18"/>
        <v>72.14833333</v>
      </c>
    </row>
    <row r="29" ht="14.25" customHeight="1">
      <c r="A29" s="19" t="s">
        <v>19</v>
      </c>
      <c r="B29" s="18">
        <f t="shared" ref="B29:B30" si="19"> ((H23 / 600) *100)</f>
        <v>80.90833333</v>
      </c>
    </row>
    <row r="30" ht="14.25" customHeight="1">
      <c r="A30" s="19" t="s">
        <v>19</v>
      </c>
      <c r="B30" s="18">
        <f t="shared" si="19"/>
        <v>81.67361111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2024-08-29T17:58:25Z</dcterms:created>
  <dc:creator>George Johnson</dc:creator>
</cp:coreProperties>
</file>