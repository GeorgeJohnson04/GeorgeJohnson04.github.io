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" sheetId="1" r:id="rId4"/>
    <sheet state="visible" name="DISTRICTS MISSING AUDITS  BUDGE" sheetId="2" r:id="rId5"/>
    <sheet state="visible" name="WCID 50" sheetId="3" r:id="rId6"/>
    <sheet state="visible" name="ADDICKS UD" sheetId="4" r:id="rId7"/>
    <sheet state="visible" name="Bammel UD" sheetId="5" r:id="rId8"/>
    <sheet state="visible" name="NW HC Mud 5" sheetId="6" r:id="rId9"/>
    <sheet state="visible" name="NW HC Mud 23" sheetId="7" r:id="rId10"/>
    <sheet state="visible" name="NW HC Mud 10" sheetId="8" r:id="rId11"/>
    <sheet state="visible" name="NW HC Mud 12" sheetId="9" r:id="rId12"/>
    <sheet state="visible" name="NW HC MUD 15" sheetId="10" r:id="rId13"/>
    <sheet state="visible" name="NW HC MUD 19" sheetId="11" r:id="rId14"/>
    <sheet state="visible" name="NW HC MUD 36" sheetId="12" r:id="rId15"/>
    <sheet state="visible" name="PRESTONWOOD FOREST UD" sheetId="13" r:id="rId16"/>
    <sheet state="visible" name="RANKIN ROAD WEST MUD" sheetId="14" r:id="rId17"/>
    <sheet state="visible" name="REID ROAD MUD 2" sheetId="15" r:id="rId18"/>
    <sheet state="visible" name="REMINGTON MUD 1" sheetId="16" r:id="rId19"/>
    <sheet state="visible" name="RENN ROAD MUD" sheetId="17" r:id="rId20"/>
    <sheet state="visible" name="RICHEY ROAD MUD" sheetId="18" r:id="rId21"/>
    <sheet state="visible" name="ROLLING CREEK UD" sheetId="19" r:id="rId22"/>
    <sheet state="visible" name="SHASLA PUD" sheetId="20" r:id="rId23"/>
    <sheet state="visible" name="SHELDON ROAD MUD" sheetId="21" r:id="rId24"/>
  </sheets>
  <definedNames/>
  <calcPr/>
</workbook>
</file>

<file path=xl/sharedStrings.xml><?xml version="1.0" encoding="utf-8"?>
<sst xmlns="http://schemas.openxmlformats.org/spreadsheetml/2006/main" count="639" uniqueCount="370">
  <si>
    <t>Tab Colors</t>
  </si>
  <si>
    <t>Most up to date data provided and data matches their reporting</t>
  </si>
  <si>
    <t>Missing data / data does not match</t>
  </si>
  <si>
    <t>Required to use previous data due to no current data / had to use Budget Report</t>
  </si>
  <si>
    <t>BAKER ROAD MUD</t>
  </si>
  <si>
    <t>1300 POST OAK BOULEVARD SUITE 2500,HOUSTON</t>
  </si>
  <si>
    <t>NW HC MUD 24</t>
  </si>
  <si>
    <t>14448 Hollister Street, Houston, Texas 77066</t>
  </si>
  <si>
    <t>NW HC MUD 30</t>
  </si>
  <si>
    <t>5730 Pinelakes Boulevard, Spring, Texas 77379</t>
  </si>
  <si>
    <t>OAKMONT PUD</t>
  </si>
  <si>
    <t>25005 Northcrest Drive, Spring, Texas 77389</t>
  </si>
  <si>
    <t>PARKWAY UD</t>
  </si>
  <si>
    <t>12843 Tidwell Road, Houston,TX 77044</t>
  </si>
  <si>
    <t>PINE VILLAGE PUD</t>
  </si>
  <si>
    <t>2929 Allen Pkwy., Suite 3450, Houston, Texas 77019</t>
  </si>
  <si>
    <t>PONDEROSA FOREST UD</t>
  </si>
  <si>
    <t>17061 Rolling Creek Dr, Houston, Tx 77090</t>
  </si>
  <si>
    <t>POST WOOD MUD</t>
  </si>
  <si>
    <t>6018 Knotty Post Lane, Spring Tx 77373</t>
  </si>
  <si>
    <t>REID ROAD MUD 1</t>
  </si>
  <si>
    <t>11245 Harvest Bend Blvd., Houston, Texas</t>
  </si>
  <si>
    <t>RICEWOOD MUD</t>
  </si>
  <si>
    <t>1300 Post Oak Blvd., Suite 1400, Houston, Texas 77056</t>
  </si>
  <si>
    <t>ROLLING FORK PUD</t>
  </si>
  <si>
    <t> 9110 Rodney Ray Boulevard, Houston, Texas 77040</t>
  </si>
  <si>
    <t>SAGEMEADOW UD</t>
  </si>
  <si>
    <t>10755 Hall Road, Houston, Texas 77089</t>
  </si>
  <si>
    <t>Expenditures</t>
  </si>
  <si>
    <t>2024 Actuals</t>
  </si>
  <si>
    <t>Salaries, Including Payroll Taxes</t>
  </si>
  <si>
    <t>Employee Insurance and Retirement Plan Costs</t>
  </si>
  <si>
    <t>Audit</t>
  </si>
  <si>
    <t>Engineering</t>
  </si>
  <si>
    <t>Legal</t>
  </si>
  <si>
    <t>Other Professional Services</t>
  </si>
  <si>
    <t>Purchased Water Service</t>
  </si>
  <si>
    <t>Utilities</t>
  </si>
  <si>
    <t>Repairs and Maintenenace</t>
  </si>
  <si>
    <t>Director Fees</t>
  </si>
  <si>
    <t>Inusrance</t>
  </si>
  <si>
    <t>Office Suopplies and Postage</t>
  </si>
  <si>
    <t>Vehicle Expense</t>
  </si>
  <si>
    <t>Website and Computer</t>
  </si>
  <si>
    <t>Capital Outlay</t>
  </si>
  <si>
    <t>Chemicals</t>
  </si>
  <si>
    <t>Appraisal District Costs</t>
  </si>
  <si>
    <t>Permit Fees and Legal Notices</t>
  </si>
  <si>
    <t>Small tools and Equipment</t>
  </si>
  <si>
    <t>Bank Charges and Other</t>
  </si>
  <si>
    <t>Totals</t>
  </si>
  <si>
    <t>https://drive.google.com/file/d/1XZlJ1l8m98dCQuYfr0CcvRbS3rfahNfF/view</t>
  </si>
  <si>
    <t>Values Equal Report</t>
  </si>
  <si>
    <t>2024 Actual</t>
  </si>
  <si>
    <t>Auditing</t>
  </si>
  <si>
    <t>Bookkeeping</t>
  </si>
  <si>
    <t>Operations and Billing</t>
  </si>
  <si>
    <t>Repairs and Maintenence</t>
  </si>
  <si>
    <t>Insurance</t>
  </si>
  <si>
    <t>Office Supplies and Postage</t>
  </si>
  <si>
    <t>Travel and meetings</t>
  </si>
  <si>
    <t>Other (Administrative Expenditures)</t>
  </si>
  <si>
    <t>Tap Connections</t>
  </si>
  <si>
    <t>Laboratory Fees</t>
  </si>
  <si>
    <t xml:space="preserve">Permit Fees </t>
  </si>
  <si>
    <t>Regional Water Authority Assessment</t>
  </si>
  <si>
    <t>Regulatory Fees</t>
  </si>
  <si>
    <t>Inspection Fees</t>
  </si>
  <si>
    <t>Sludge Hauling</t>
  </si>
  <si>
    <t>Total</t>
  </si>
  <si>
    <t>https://drive.google.com/file/d/1T-zqilz8QtVwe8gsdECt9PhM5RQ1spfq/view</t>
  </si>
  <si>
    <t>Using Budget no Audit Report 2025</t>
  </si>
  <si>
    <t>2025 Adopted Budget</t>
  </si>
  <si>
    <t>Reconnect / Disconnect</t>
  </si>
  <si>
    <t>Pur Sewer Service</t>
  </si>
  <si>
    <t>4-year Impr Plan STP</t>
  </si>
  <si>
    <t>Sewer Inspection Fee / Grease Trap Inspection</t>
  </si>
  <si>
    <t>Directors Fees</t>
  </si>
  <si>
    <t>Payroll Fees</t>
  </si>
  <si>
    <t>Legal Fees</t>
  </si>
  <si>
    <t>Auditing Fees</t>
  </si>
  <si>
    <t>Lab</t>
  </si>
  <si>
    <t>Publication Legal Notices</t>
  </si>
  <si>
    <t>Election Expenses</t>
  </si>
  <si>
    <t>Permits</t>
  </si>
  <si>
    <t>Operator</t>
  </si>
  <si>
    <t>Bookkeping</t>
  </si>
  <si>
    <t>Rep. &amp; Maint.</t>
  </si>
  <si>
    <t>New Meter Maintenance</t>
  </si>
  <si>
    <t>Office Expense</t>
  </si>
  <si>
    <t>Web Comply Requirements</t>
  </si>
  <si>
    <t>Insurance &amp; Bonds</t>
  </si>
  <si>
    <t>Travel Expense</t>
  </si>
  <si>
    <t>Membership Fees</t>
  </si>
  <si>
    <t>Drainage Relief Phase 1 (Cut Off Ditch)</t>
  </si>
  <si>
    <t>Drainage Relief Phase 2 (Brightwood)</t>
  </si>
  <si>
    <t>Old Oaks Section 2 / HCFC Shared Exp</t>
  </si>
  <si>
    <t>Bammel Park Exp (Consultants / Construction)</t>
  </si>
  <si>
    <t>Detention Pond Mowing/Maintenance Exps</t>
  </si>
  <si>
    <t>Lift Station Expenses</t>
  </si>
  <si>
    <t>Utilities (Lift Station Expenses)</t>
  </si>
  <si>
    <t>Texas Pride Disposal/HOA Agreement</t>
  </si>
  <si>
    <t>Financial Advisor Fees</t>
  </si>
  <si>
    <t>Bammel - Joint Water PLant Share</t>
  </si>
  <si>
    <t xml:space="preserve">Water Conservation Program </t>
  </si>
  <si>
    <t>https://drive.google.com/file/d/1vkI7foGOar2FnPhfmLNbTG0Li6BSn8vR/view</t>
  </si>
  <si>
    <t>2024 Eleven Month Actuals</t>
  </si>
  <si>
    <t>16102 Operator Fees -Water</t>
  </si>
  <si>
    <t>16103 NHCRWA - Surface Water</t>
  </si>
  <si>
    <t>16104 NHCRWA - Ground Water</t>
  </si>
  <si>
    <t>16105 Maintenance &amp; Repairs - Water</t>
  </si>
  <si>
    <t>16107 Chemicals - Water</t>
  </si>
  <si>
    <t>16108 Laboratory Expense - Water</t>
  </si>
  <si>
    <t>16109 Mowing - Water</t>
  </si>
  <si>
    <t>16110 Utilities - Water</t>
  </si>
  <si>
    <t>16111 Telephone SCADA - Water</t>
  </si>
  <si>
    <t>16112 Telephone Expense - Water</t>
  </si>
  <si>
    <t>16113 Smart Meter Cellular</t>
  </si>
  <si>
    <t>16116 Permit Expense - Water</t>
  </si>
  <si>
    <t>16117 TCEQ Regulatory Expense - Water</t>
  </si>
  <si>
    <t>16202 Operator Fees - Wastewater</t>
  </si>
  <si>
    <t>16204 Purchase Wastewater Service</t>
  </si>
  <si>
    <t>16205 Maint &amp; Repairs - Wastewater</t>
  </si>
  <si>
    <t>16207 Chemicals - Wastewater</t>
  </si>
  <si>
    <t>16208 Laboratory Expense - Wastewater</t>
  </si>
  <si>
    <t>16209 Mowing - Wastewater</t>
  </si>
  <si>
    <t>16210 Utilities - Wastewater</t>
  </si>
  <si>
    <t>16211 Dumpster Expense - Wastewater</t>
  </si>
  <si>
    <t>16212 Sludge Removal</t>
  </si>
  <si>
    <t>16213 Telephone SCADA - Wastewater</t>
  </si>
  <si>
    <t>16214 Telephone Expense - Wastewater</t>
  </si>
  <si>
    <t>16216 Permit Expense - Wastewater</t>
  </si>
  <si>
    <t>16217 TCEQ Regulatory Exp-Wastewater</t>
  </si>
  <si>
    <t>16301 Garbage Expense</t>
  </si>
  <si>
    <t>16401 SWQ Permitting</t>
  </si>
  <si>
    <t>16402 Detention Pond Maintenance</t>
  </si>
  <si>
    <t>16501 Tap Connection Expense</t>
  </si>
  <si>
    <t>16502 Inspection Expense</t>
  </si>
  <si>
    <t>16601 Park Planning Expense</t>
  </si>
  <si>
    <t>16603 Landscaping - SC Esplanade</t>
  </si>
  <si>
    <t>16701 Legal Fees</t>
  </si>
  <si>
    <t>16702 Condemnation Expense</t>
  </si>
  <si>
    <t>16704 Engineering Fees</t>
  </si>
  <si>
    <t>16705 Reused Water Study</t>
  </si>
  <si>
    <t>16707 Auditing Fees</t>
  </si>
  <si>
    <t>16710 Website Expense</t>
  </si>
  <si>
    <t>16712 Bookkeeping Fees</t>
  </si>
  <si>
    <t>16713 Legal Notices &amp; Other Pub!.</t>
  </si>
  <si>
    <t>16714 Printing &amp; Office Supplies</t>
  </si>
  <si>
    <t>16715 Filing Fees</t>
  </si>
  <si>
    <t>16716 Delivery Expense</t>
  </si>
  <si>
    <t>16717 Postage</t>
  </si>
  <si>
    <t>16718 Insurance &amp; Surety Bond</t>
  </si>
  <si>
    <t>16719 AWBD Expense</t>
  </si>
  <si>
    <t>16720 Travel Expense</t>
  </si>
  <si>
    <t>16721 Meeting Expense</t>
  </si>
  <si>
    <t>16722 Bank Service Charge</t>
  </si>
  <si>
    <t>16723 Arbitrage Expense</t>
  </si>
  <si>
    <t>16724 Election Expense</t>
  </si>
  <si>
    <t>16728 Record Storage Fees</t>
  </si>
  <si>
    <t>16801 Security Expense</t>
  </si>
  <si>
    <t>17102 Director Fees</t>
  </si>
  <si>
    <t>17103 Payroll Tax Expense</t>
  </si>
  <si>
    <t>17802 Miscellaneous Expense</t>
  </si>
  <si>
    <t xml:space="preserve">https://drive.google.com/file/d/1i5eH9qGwpB7qV2E0eTC1Vnsjx_KrNF62/view </t>
  </si>
  <si>
    <t>Payroll Taxes</t>
  </si>
  <si>
    <t>Permit Fees/TCEQ</t>
  </si>
  <si>
    <t>NHCRWA-Monthly fees</t>
  </si>
  <si>
    <t>Travel/AWBD Conventions &amp; Seminars</t>
  </si>
  <si>
    <t>Legal Fees/Election Expenses</t>
  </si>
  <si>
    <t>Engineering Fees</t>
  </si>
  <si>
    <t>Engineering Fees-Stategic Plan</t>
  </si>
  <si>
    <t>Bookkeeping Fees</t>
  </si>
  <si>
    <t>Disconnect/Reconnect</t>
  </si>
  <si>
    <t>Purchase Sewer Service</t>
  </si>
  <si>
    <t>Tap Connection Expense</t>
  </si>
  <si>
    <t>Sewer Inspections</t>
  </si>
  <si>
    <t>Laboratory Expenses</t>
  </si>
  <si>
    <t>Operators Fee</t>
  </si>
  <si>
    <t>R&amp;M - General* Meters/Maintenance</t>
  </si>
  <si>
    <t>R&amp;M - Detention Ponds/Swale Maintenance</t>
  </si>
  <si>
    <t>Meter Changeout Program</t>
  </si>
  <si>
    <t>Fire Hydrant Survey &amp; Repair</t>
  </si>
  <si>
    <t>Valve Survey &amp; Repairs</t>
  </si>
  <si>
    <t>Miscellaneous (Valve Survey &amp; Repairs)</t>
  </si>
  <si>
    <t>Website</t>
  </si>
  <si>
    <t>Security</t>
  </si>
  <si>
    <t>https://drive.google.com/file/d/11rrEZDYoizit-rn8O2hgQKkfOkIJxJLo/view</t>
  </si>
  <si>
    <t>2024 Totals</t>
  </si>
  <si>
    <t>Finacial Advisor</t>
  </si>
  <si>
    <t>Operation and Billing</t>
  </si>
  <si>
    <t>Sales Tax Consultant</t>
  </si>
  <si>
    <t>Tax Assessor Collector</t>
  </si>
  <si>
    <t>Central Appraisal District</t>
  </si>
  <si>
    <t>Uttilities</t>
  </si>
  <si>
    <t>Groundwater Pumpage Fees</t>
  </si>
  <si>
    <t>Repairs and Maintenance</t>
  </si>
  <si>
    <t>Laboratory Costs</t>
  </si>
  <si>
    <t>Inspection Costs</t>
  </si>
  <si>
    <t>Reconnection Costs</t>
  </si>
  <si>
    <t>TCEQ Assessment</t>
  </si>
  <si>
    <t>Other (Operating Expenditures)</t>
  </si>
  <si>
    <t>Security Service</t>
  </si>
  <si>
    <t>Garbage Disposal</t>
  </si>
  <si>
    <t>Permit Fees</t>
  </si>
  <si>
    <t>Authorized Expenditures</t>
  </si>
  <si>
    <t>Tap Conection Costs</t>
  </si>
  <si>
    <t xml:space="preserve">Principle Retirement </t>
  </si>
  <si>
    <t>Interest</t>
  </si>
  <si>
    <t>Paying Agent Fees</t>
  </si>
  <si>
    <t>https://drive.google.com/file/d/1JIxbfWdbRj2UlQLHjsOyFYpPrqHZaQOu/view</t>
  </si>
  <si>
    <t>2024 Spending Actuals</t>
  </si>
  <si>
    <t>1.6100 AWAI Risk/Res Study</t>
  </si>
  <si>
    <t>1.6105 WHCRWA</t>
  </si>
  <si>
    <t>1.6142 Chemicals</t>
  </si>
  <si>
    <t>1.6170 Tap Connect Expense</t>
  </si>
  <si>
    <t>1.6201 Purchased Services</t>
  </si>
  <si>
    <t>1.6235 Repair &amp; Maintenance</t>
  </si>
  <si>
    <t>1.6236 Repair &amp; Maintenance - Detention</t>
  </si>
  <si>
    <t>1.6275 Inspection Expense</t>
  </si>
  <si>
    <t>1.6310 Director Fees</t>
  </si>
  <si>
    <t>1.6320 Legal Fees</t>
  </si>
  <si>
    <t>1.6321 Auditing Fees</t>
  </si>
  <si>
    <t>1.6322a Engineering Fees</t>
  </si>
  <si>
    <t>1.6322b Engineering Fees - Cap Study</t>
  </si>
  <si>
    <t>1.6324 Laboratory Expense</t>
  </si>
  <si>
    <t>1.6325 Election Expense</t>
  </si>
  <si>
    <t>1.6326 Permit Fee Expense</t>
  </si>
  <si>
    <t>1.6332 Operations &amp; Billing</t>
  </si>
  <si>
    <t>1.6333 Bookkeeping</t>
  </si>
  <si>
    <t>1.6340 Printing &amp; Office Supplies</t>
  </si>
  <si>
    <t>1.6352 Utilities</t>
  </si>
  <si>
    <t>1.6353 Insurance/Surety Bond Premium</t>
  </si>
  <si>
    <t>1.6354 Travel &amp; Per Diem</t>
  </si>
  <si>
    <t>1.6359 Other Expenses</t>
  </si>
  <si>
    <t>1.6360 District Security</t>
  </si>
  <si>
    <t>1.6560 Payroll Expenses</t>
  </si>
  <si>
    <t>1.7396 Capital Outlay</t>
  </si>
  <si>
    <t xml:space="preserve">Total </t>
  </si>
  <si>
    <t>https://drive.google.com/file/d/1EEPyqOGTfr46J-YWiX6baAUKxd9Q_kB6/view</t>
  </si>
  <si>
    <t>Director W/H &amp; SS</t>
  </si>
  <si>
    <t>Election Expense</t>
  </si>
  <si>
    <t>Legal Notices &amp; Publ.</t>
  </si>
  <si>
    <t>Travel</t>
  </si>
  <si>
    <t>Membership/Registration</t>
  </si>
  <si>
    <t>Bookkeeper Fees</t>
  </si>
  <si>
    <t>Operator Fees LS/Adm</t>
  </si>
  <si>
    <t>R&amp;M - Water System</t>
  </si>
  <si>
    <t>R&amp;M - Sewer System</t>
  </si>
  <si>
    <t>R&amp;M- Lift Station</t>
  </si>
  <si>
    <t xml:space="preserve">R&amp;M - I &amp; I </t>
  </si>
  <si>
    <t>R&amp;M - General</t>
  </si>
  <si>
    <t>Purchased Water (JWP)</t>
  </si>
  <si>
    <t>Purchased Sewer (JWWTP)</t>
  </si>
  <si>
    <t>R&amp;M - Storm / Drainage</t>
  </si>
  <si>
    <t>Reconnect/Disconnect</t>
  </si>
  <si>
    <t>Tap Connection</t>
  </si>
  <si>
    <t>Utilities (District Operations)</t>
  </si>
  <si>
    <t>Miscellaneous (District Operations)</t>
  </si>
  <si>
    <t>Garbage Collection</t>
  </si>
  <si>
    <t>Off Cinco</t>
  </si>
  <si>
    <t>Lift Station Grease Removal</t>
  </si>
  <si>
    <t>Stormwater Mgmt Program</t>
  </si>
  <si>
    <t>https://drive.google.com/file/d/11tGE30aVG4kMhxjCFnqjADbgMcW75P_E/view</t>
  </si>
  <si>
    <t>Operation and billing</t>
  </si>
  <si>
    <t>Tax assessor-collector</t>
  </si>
  <si>
    <t>Central appraisal district</t>
  </si>
  <si>
    <t>Surface water pumpage fees</t>
  </si>
  <si>
    <t>Repairs and maintenance</t>
  </si>
  <si>
    <t>Sludge hauling</t>
  </si>
  <si>
    <t>Laboratory costs</t>
  </si>
  <si>
    <t>Sewer inspection costs</t>
  </si>
  <si>
    <t>TCEQ assessment (1)</t>
  </si>
  <si>
    <t>TCEQ assessment (2)</t>
  </si>
  <si>
    <t>Security service</t>
  </si>
  <si>
    <t>Garbage disposal</t>
  </si>
  <si>
    <t>Director's fees</t>
  </si>
  <si>
    <t>Office supplies and postage</t>
  </si>
  <si>
    <t>Permit fees</t>
  </si>
  <si>
    <t>Authorized expenditures (Capital Outlay)</t>
  </si>
  <si>
    <t>Tap connection costs</t>
  </si>
  <si>
    <t>Principal retirement</t>
  </si>
  <si>
    <t>Paying agent fees</t>
  </si>
  <si>
    <t>https://drive.google.com/file/d/1DT5M1uAMrg5b1-dtbflD83BvyLBmBygm/view</t>
  </si>
  <si>
    <t>Director fees</t>
  </si>
  <si>
    <t>Legal Fees: Regular</t>
  </si>
  <si>
    <t>Legal Fees: Annex</t>
  </si>
  <si>
    <t>Legal Fees: Election</t>
  </si>
  <si>
    <t>Audit Fee</t>
  </si>
  <si>
    <t>Engineering Fees General</t>
  </si>
  <si>
    <t>Engineering TPDES Permit</t>
  </si>
  <si>
    <t>Engineering Bond app.</t>
  </si>
  <si>
    <t>Financial Advisor</t>
  </si>
  <si>
    <t>Rep &amp; Maint-Normal</t>
  </si>
  <si>
    <t>Rep &amp; Maint-Pond Maint.</t>
  </si>
  <si>
    <t>Special-US Upgrades</t>
  </si>
  <si>
    <t>Laboratory</t>
  </si>
  <si>
    <t>NHCRWA Fees</t>
  </si>
  <si>
    <t>Legal Notices</t>
  </si>
  <si>
    <t>Joint Water Plant Exp</t>
  </si>
  <si>
    <t>Membership fees</t>
  </si>
  <si>
    <t>Travel/seminars/conf</t>
  </si>
  <si>
    <t>Sludge Hauling &amp; Garbage</t>
  </si>
  <si>
    <t>Security System</t>
  </si>
  <si>
    <t>Security Expense</t>
  </si>
  <si>
    <t>Misc (inc reconn, web)</t>
  </si>
  <si>
    <t>Misc Wtr/Taps/lnspects</t>
  </si>
  <si>
    <t>https://drive.google.com/file/d/1zmpKsJqYt906eEHPBdoiBn3WBylabPM8/view</t>
  </si>
  <si>
    <t>Other professional fees</t>
  </si>
  <si>
    <t>Bulk water and wastewater service purchases</t>
  </si>
  <si>
    <t>Regional water authority fee</t>
  </si>
  <si>
    <t>General manager or operator</t>
  </si>
  <si>
    <t>Tax assessor fee</t>
  </si>
  <si>
    <t>Sewer inspection fees</t>
  </si>
  <si>
    <t>Laboratory fees</t>
  </si>
  <si>
    <t>Directors' fees</t>
  </si>
  <si>
    <t>Office supplies</t>
  </si>
  <si>
    <t>Other administrative expenditures</t>
  </si>
  <si>
    <t>Capitalized assets</t>
  </si>
  <si>
    <t>Debt Service Expenditures</t>
  </si>
  <si>
    <t>https://drive.google.com/file/d/1VHqom_eWpUoq3db77X0FgQLmpWPzwFvi/view</t>
  </si>
  <si>
    <t>Repairs, Maintenance, Waste Disposal</t>
  </si>
  <si>
    <t>Smart Meter Installation Costs</t>
  </si>
  <si>
    <t>Director Fees, Including Payroll Taxes</t>
  </si>
  <si>
    <t>Travel, Meetings and Dues</t>
  </si>
  <si>
    <t>Website and Other</t>
  </si>
  <si>
    <t>https://drive.google.com/file/d/1CZWIUfvvIm_GlBU5A4Cb6_ChQ2eo31PS/view</t>
  </si>
  <si>
    <t>Purchased Wastewater Service</t>
  </si>
  <si>
    <t>Solid Waste Disposal</t>
  </si>
  <si>
    <t>Electricity</t>
  </si>
  <si>
    <t>Telephone</t>
  </si>
  <si>
    <t>Election Costs</t>
  </si>
  <si>
    <t>Travel and Meetings</t>
  </si>
  <si>
    <t>Reconnection Fees</t>
  </si>
  <si>
    <t>Regulatory Assessment</t>
  </si>
  <si>
    <t>Other (Other Expenditures)</t>
  </si>
  <si>
    <t>https://drive.google.com/file/d/1EafwZewLYGerAe6W7FZYK9JZ8H9RCUo4/view</t>
  </si>
  <si>
    <t>Financial advisor</t>
  </si>
  <si>
    <t>Regional water fee</t>
  </si>
  <si>
    <t>General manager</t>
  </si>
  <si>
    <t>Appraisal district</t>
  </si>
  <si>
    <t>Tax collector</t>
  </si>
  <si>
    <t>Other contracted services</t>
  </si>
  <si>
    <t>Expenditures not capitalized (Capital Outlay)</t>
  </si>
  <si>
    <t>Tap Connection Expenditures</t>
  </si>
  <si>
    <t>Fire Fighting</t>
  </si>
  <si>
    <t>Parks and Recreation</t>
  </si>
  <si>
    <t>https://drive.google.com/file/d/1N2DkudYNi4k_3f3rm3e8ggfT7CHwIFWB/view</t>
  </si>
  <si>
    <t>Regional Water Authority</t>
  </si>
  <si>
    <t>https://bli-tax.com/wp-content/uploads/2025/02/Renn-Road-MUD-2024-FS-Final.pdf</t>
  </si>
  <si>
    <t>Connection and Inspection Fees</t>
  </si>
  <si>
    <t>Water Authority Assessments</t>
  </si>
  <si>
    <t>Garbage</t>
  </si>
  <si>
    <t>https://drive.google.com/file/d/11q6FHqwVxS7IhakLZLU6RwRmHitPJydj/view</t>
  </si>
  <si>
    <t>2024 Total</t>
  </si>
  <si>
    <t>Ground water pumpage fees</t>
  </si>
  <si>
    <t>Purchased surface water</t>
  </si>
  <si>
    <t>TCEQ assessment</t>
  </si>
  <si>
    <t>Security services</t>
  </si>
  <si>
    <t>Tap connection costs (Capital Outlay)</t>
  </si>
  <si>
    <t>https://drive.google.com/file/d/1IEXpzgXf7jX7SufvEr8ifnmmW9L6EzwZ/view</t>
  </si>
  <si>
    <t>Recording Secretary</t>
  </si>
  <si>
    <t>Dues</t>
  </si>
  <si>
    <t>https://drive.google.com/file/d/1WcyUhxfadT2bMPuHwrAVpEDNHTjI_oAw/view</t>
  </si>
  <si>
    <t>Repairs, Maintenance, and Operations</t>
  </si>
  <si>
    <t>Rents and Leases</t>
  </si>
  <si>
    <t>Office and Postage</t>
  </si>
  <si>
    <t>Training, Travel and Meetings</t>
  </si>
  <si>
    <t>Bank Fees and Finance Charges</t>
  </si>
  <si>
    <t>https://drive.google.com/file/d/1rQRBOWPXbsocjbKkoSYqdIQrpB55vWFe/view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</si>
</sst>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9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rial"/>
    </font>
    <font>
      <b/>
      <i/>
      <sz val="11.0"/>
      <color theme="0"/>
      <name val="Aptos Narrow"/>
    </font>
    <font>
      <b/>
      <i/>
      <sz val="11.0"/>
      <color rgb="FFFFFFFF"/>
      <name val="Arial"/>
    </font>
    <font>
      <sz val="11.0"/>
      <color theme="10"/>
      <name val="Aptos Narrow"/>
    </font>
    <font/>
    <font>
      <sz val="11.0"/>
      <color theme="1"/>
      <name val="Aptos Narrow"/>
    </font>
    <font>
      <b/>
      <sz val="11.0"/>
      <color theme="1"/>
      <name val="Aptos Narrow"/>
    </font>
    <font>
      <u/>
      <sz val="11.0"/>
      <color theme="10"/>
      <name val="Aptos Narrow"/>
    </font>
    <font>
      <b/>
      <color theme="1"/>
      <name val="Arial"/>
    </font>
    <font>
      <b/>
      <color theme="1"/>
      <name val="Aptos Narrow"/>
      <scheme val="minor"/>
    </font>
    <font>
      <u/>
      <color rgb="FF0000FF"/>
    </font>
    <font>
      <u/>
      <sz val="11.0"/>
      <color theme="10"/>
      <name val="Aptos Narrow"/>
    </font>
    <font>
      <b/>
      <sz val="11.0"/>
      <color theme="10"/>
      <name val="Aptos Narrow"/>
    </font>
    <font>
      <u/>
      <color rgb="FF467886"/>
      <name val="Arial"/>
    </font>
    <font>
      <u/>
      <color rgb="FF467886"/>
      <name val="Arial"/>
    </font>
    <font>
      <u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theme="1"/>
        <bgColor theme="1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rgb="FFE8E8E8"/>
      </patternFill>
    </fill>
  </fills>
  <borders count="9">
    <border/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thin">
        <color rgb="FF000000"/>
      </top>
    </border>
    <border>
      <lef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  <xf borderId="0" fillId="0" fontId="3" numFmtId="0" xfId="0" applyFont="1"/>
    <xf borderId="0" fillId="0" fontId="3" numFmtId="0" xfId="0" applyAlignment="1" applyFont="1">
      <alignment readingOrder="0"/>
    </xf>
    <xf borderId="0" fillId="5" fontId="4" numFmtId="0" xfId="0" applyAlignment="1" applyFill="1" applyFont="1">
      <alignment horizontal="center"/>
    </xf>
    <xf borderId="0" fillId="5" fontId="5" numFmtId="0" xfId="0" applyAlignment="1" applyFont="1">
      <alignment horizontal="center" readingOrder="0"/>
    </xf>
    <xf borderId="1" fillId="0" fontId="6" numFmtId="0" xfId="0" applyAlignment="1" applyBorder="1" applyFont="1">
      <alignment horizontal="center"/>
    </xf>
    <xf borderId="2" fillId="0" fontId="7" numFmtId="0" xfId="0" applyBorder="1" applyFont="1"/>
    <xf borderId="0" fillId="6" fontId="8" numFmtId="0" xfId="0" applyFill="1" applyFont="1"/>
    <xf borderId="0" fillId="7" fontId="8" numFmtId="164" xfId="0" applyFill="1" applyFont="1" applyNumberFormat="1"/>
    <xf borderId="0" fillId="8" fontId="9" numFmtId="0" xfId="0" applyFill="1" applyFont="1"/>
    <xf borderId="0" fillId="8" fontId="9" numFmtId="164" xfId="0" applyFont="1" applyNumberFormat="1"/>
    <xf borderId="0" fillId="0" fontId="9" numFmtId="0" xfId="0" applyFont="1"/>
    <xf borderId="0" fillId="9" fontId="10" numFmtId="0" xfId="0" applyAlignment="1" applyFill="1" applyFont="1">
      <alignment horizontal="center"/>
    </xf>
    <xf borderId="3" fillId="5" fontId="4" numFmtId="0" xfId="0" applyAlignment="1" applyBorder="1" applyFont="1">
      <alignment horizontal="center"/>
    </xf>
    <xf borderId="4" fillId="5" fontId="5" numFmtId="0" xfId="0" applyAlignment="1" applyBorder="1" applyFont="1">
      <alignment horizontal="center" readingOrder="0"/>
    </xf>
    <xf borderId="0" fillId="6" fontId="1" numFmtId="0" xfId="0" applyAlignment="1" applyFont="1">
      <alignment readingOrder="0"/>
    </xf>
    <xf borderId="0" fillId="7" fontId="1" numFmtId="164" xfId="0" applyAlignment="1" applyFont="1" applyNumberFormat="1">
      <alignment readingOrder="0"/>
    </xf>
    <xf borderId="0" fillId="8" fontId="11" numFmtId="0" xfId="0" applyAlignment="1" applyFont="1">
      <alignment readingOrder="0"/>
    </xf>
    <xf borderId="0" fillId="8" fontId="12" numFmtId="164" xfId="0" applyFont="1" applyNumberFormat="1"/>
    <xf borderId="0" fillId="0" fontId="2" numFmtId="0" xfId="0" applyAlignment="1" applyFont="1">
      <alignment readingOrder="0"/>
    </xf>
    <xf borderId="0" fillId="9" fontId="13" numFmtId="0" xfId="0" applyAlignment="1" applyFont="1">
      <alignment horizontal="center" readingOrder="0"/>
    </xf>
    <xf borderId="0" fillId="0" fontId="2" numFmtId="164" xfId="0" applyFont="1" applyNumberFormat="1"/>
    <xf borderId="5" fillId="5" fontId="4" numFmtId="0" xfId="0" applyAlignment="1" applyBorder="1" applyFont="1">
      <alignment horizontal="center"/>
    </xf>
    <xf borderId="4" fillId="5" fontId="5" numFmtId="164" xfId="0" applyAlignment="1" applyBorder="1" applyFont="1" applyNumberFormat="1">
      <alignment horizontal="center" readingOrder="0"/>
    </xf>
    <xf borderId="6" fillId="5" fontId="4" numFmtId="0" xfId="0" applyAlignment="1" applyBorder="1" applyFont="1">
      <alignment horizontal="center"/>
    </xf>
    <xf borderId="7" fillId="5" fontId="5" numFmtId="0" xfId="0" applyAlignment="1" applyBorder="1" applyFont="1">
      <alignment horizontal="center" readingOrder="0"/>
    </xf>
    <xf borderId="0" fillId="6" fontId="3" numFmtId="0" xfId="0" applyAlignment="1" applyFont="1">
      <alignment horizontal="left" readingOrder="0" vertical="center"/>
    </xf>
    <xf borderId="0" fillId="7" fontId="3" numFmtId="164" xfId="0" applyAlignment="1" applyFont="1" applyNumberFormat="1">
      <alignment horizontal="right" readingOrder="0" vertical="center"/>
    </xf>
    <xf borderId="0" fillId="6" fontId="8" numFmtId="0" xfId="0" applyAlignment="1" applyFont="1">
      <alignment horizontal="left" vertical="center"/>
    </xf>
    <xf borderId="0" fillId="7" fontId="3" numFmtId="164" xfId="0" applyAlignment="1" applyFont="1" applyNumberFormat="1">
      <alignment readingOrder="0"/>
    </xf>
    <xf borderId="0" fillId="6" fontId="3" numFmtId="0" xfId="0" applyAlignment="1" applyFont="1">
      <alignment readingOrder="0"/>
    </xf>
    <xf borderId="0" fillId="8" fontId="9" numFmtId="164" xfId="0" applyFont="1" applyNumberFormat="1"/>
    <xf borderId="0" fillId="0" fontId="11" numFmtId="0" xfId="0" applyAlignment="1" applyFont="1">
      <alignment readingOrder="0"/>
    </xf>
    <xf borderId="0" fillId="0" fontId="12" numFmtId="0" xfId="0" applyFont="1"/>
    <xf borderId="0" fillId="0" fontId="6" numFmtId="0" xfId="0" applyAlignment="1" applyFont="1">
      <alignment horizontal="center"/>
    </xf>
    <xf borderId="8" fillId="9" fontId="14" numFmtId="0" xfId="0" applyAlignment="1" applyBorder="1" applyFont="1">
      <alignment horizontal="center"/>
    </xf>
    <xf borderId="0" fillId="7" fontId="3" numFmtId="164" xfId="0" applyAlignment="1" applyFont="1" applyNumberFormat="1">
      <alignment readingOrder="0"/>
    </xf>
    <xf borderId="0" fillId="0" fontId="15" numFmtId="0" xfId="0" applyAlignment="1" applyFont="1">
      <alignment horizontal="center"/>
    </xf>
    <xf borderId="4" fillId="5" fontId="4" numFmtId="165" xfId="0" applyAlignment="1" applyBorder="1" applyFont="1" applyNumberFormat="1">
      <alignment horizontal="center"/>
    </xf>
    <xf borderId="0" fillId="7" fontId="1" numFmtId="165" xfId="0" applyAlignment="1" applyFont="1" applyNumberFormat="1">
      <alignment readingOrder="0"/>
    </xf>
    <xf borderId="0" fillId="8" fontId="12" numFmtId="165" xfId="0" applyFont="1" applyNumberFormat="1"/>
    <xf borderId="0" fillId="0" fontId="16" numFmtId="0" xfId="0" applyAlignment="1" applyFont="1">
      <alignment horizontal="center" readingOrder="0"/>
    </xf>
    <xf borderId="0" fillId="9" fontId="17" numFmtId="0" xfId="0" applyAlignment="1" applyFont="1">
      <alignment horizontal="center" readingOrder="0"/>
    </xf>
    <xf borderId="0" fillId="0" fontId="2" numFmtId="165" xfId="0" applyFont="1" applyNumberFormat="1"/>
    <xf borderId="4" fillId="5" fontId="5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9" fontId="18" numFmtId="0" xfId="0" applyAlignment="1" applyFont="1">
      <alignment horizontal="center" readingOrder="0"/>
    </xf>
    <xf borderId="0" fillId="6" fontId="2" numFmtId="0" xfId="0" applyAlignment="1" applyFont="1">
      <alignment readingOrder="0"/>
    </xf>
    <xf borderId="0" fillId="7" fontId="2" numFmtId="165" xfId="0" applyAlignment="1" applyFont="1" applyNumberFormat="1">
      <alignment readingOrder="0"/>
    </xf>
    <xf borderId="0" fillId="6" fontId="3" numFmtId="0" xfId="0" applyAlignment="1" applyFont="1">
      <alignment vertical="bottom"/>
    </xf>
    <xf borderId="0" fillId="7" fontId="3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worksheet" Target="worksheets/sheet2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ZlJ1l8m98dCQuYfr0CcvRbS3rfahNfF/view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-zqilz8QtVwe8gsdECt9PhM5RQ1spfq/view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kI7foGOar2FnPhfmLNbTG0Li6BSn8vR/view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5eH9qGwpB7qV2E0eTC1Vnsjx_KrNF62/view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1rrEZDYoizit-rn8O2hgQKkfOkIJxJLo/view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xbfWdbRj2UlQLHjsOyFYpPrqHZaQOu/view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EPyqOGTfr46J-YWiX6baAUKxd9Q_kB6/view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1tGE30aVG4kMhxjCFnqjADbgMcW75P_E/view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T5M1uAMrg5b1-dtbflD83BvyLBmBygm/view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mpKsJqYt906eEHPBdoiBn3WBylabPM8/view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Hqom_eWpUoq3db77X0FgQLmpWPzwFvi/view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ZWIUfvvIm_GlBU5A4Cb6_ChQ2eo31PS/view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afwZewLYGerAe6W7FZYK9JZ8H9RCUo4/view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2DkudYNi4k_3f3rm3e8ggfT7CHwIFWB/view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bli-tax.com/wp-content/uploads/2025/02/Renn-Road-MUD-2024-FS-Final.pdf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1q6FHqwVxS7IhakLZLU6RwRmHitPJydj/view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EXpzgXf7jX7SufvEr8ifnmmW9L6EzwZ/view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cyUhxfadT2bMPuHwrAVpEDNHTjI_oAw/view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QRBOWPXbsocjbKkoSYqdIQrpB55vWFe/view" TargetMode="External"/><Relationship Id="rId2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2.63" defaultRowHeight="15.0"/>
  <cols>
    <col customWidth="1" min="2" max="2" width="70.0"/>
  </cols>
  <sheetData>
    <row r="1">
      <c r="A1" s="1" t="s">
        <v>0</v>
      </c>
    </row>
    <row r="2">
      <c r="A2" s="2"/>
      <c r="B2" s="1" t="s">
        <v>1</v>
      </c>
    </row>
    <row r="3">
      <c r="A3" s="3"/>
      <c r="B3" s="1" t="s">
        <v>2</v>
      </c>
    </row>
    <row r="4">
      <c r="A4" s="4"/>
      <c r="B4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62.5"/>
  </cols>
  <sheetData>
    <row r="1">
      <c r="A1" s="5" t="s">
        <v>4</v>
      </c>
      <c r="B1" s="5" t="s">
        <v>5</v>
      </c>
    </row>
    <row r="2">
      <c r="A2" s="6" t="s">
        <v>6</v>
      </c>
      <c r="B2" s="6" t="s">
        <v>7</v>
      </c>
    </row>
    <row r="3">
      <c r="A3" s="6" t="s">
        <v>8</v>
      </c>
      <c r="B3" s="6" t="s">
        <v>9</v>
      </c>
    </row>
    <row r="4">
      <c r="A4" s="6" t="s">
        <v>10</v>
      </c>
      <c r="B4" s="6" t="s">
        <v>11</v>
      </c>
    </row>
    <row r="5">
      <c r="A5" s="1" t="s">
        <v>12</v>
      </c>
      <c r="B5" s="1" t="s">
        <v>13</v>
      </c>
    </row>
    <row r="6">
      <c r="A6" s="1" t="s">
        <v>14</v>
      </c>
      <c r="B6" s="1" t="s">
        <v>15</v>
      </c>
    </row>
    <row r="7">
      <c r="A7" s="1" t="s">
        <v>16</v>
      </c>
      <c r="B7" s="1" t="s">
        <v>17</v>
      </c>
    </row>
    <row r="8">
      <c r="A8" s="1" t="s">
        <v>18</v>
      </c>
      <c r="B8" s="1" t="s">
        <v>19</v>
      </c>
    </row>
    <row r="9">
      <c r="A9" s="1" t="s">
        <v>20</v>
      </c>
      <c r="B9" s="1" t="s">
        <v>21</v>
      </c>
    </row>
    <row r="10">
      <c r="A10" s="5" t="s">
        <v>22</v>
      </c>
      <c r="B10" s="1" t="s">
        <v>23</v>
      </c>
    </row>
    <row r="11">
      <c r="A11" s="1" t="s">
        <v>24</v>
      </c>
      <c r="B11" s="1" t="s">
        <v>25</v>
      </c>
    </row>
    <row r="12">
      <c r="A12" s="1" t="s">
        <v>26</v>
      </c>
      <c r="B12" s="1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45.88"/>
    <col customWidth="1" min="2" max="2" width="28.75"/>
    <col customWidth="1" min="3" max="3" width="34.75"/>
    <col customWidth="1" min="4" max="4" width="60.88"/>
    <col customWidth="1" min="5" max="26" width="8.63"/>
  </cols>
  <sheetData>
    <row r="1">
      <c r="A1" s="7" t="s">
        <v>28</v>
      </c>
      <c r="B1" s="8" t="s">
        <v>29</v>
      </c>
      <c r="C1" s="9"/>
      <c r="D1" s="10"/>
    </row>
    <row r="2">
      <c r="A2" s="11" t="s">
        <v>30</v>
      </c>
      <c r="B2" s="12">
        <v>751327.0</v>
      </c>
      <c r="C2" s="1"/>
    </row>
    <row r="3">
      <c r="A3" s="11" t="s">
        <v>31</v>
      </c>
      <c r="B3" s="12">
        <v>296628.0</v>
      </c>
    </row>
    <row r="4">
      <c r="A4" s="11" t="s">
        <v>32</v>
      </c>
      <c r="B4" s="12">
        <v>27500.0</v>
      </c>
    </row>
    <row r="5">
      <c r="A5" s="11" t="s">
        <v>33</v>
      </c>
      <c r="B5" s="12">
        <v>57774.0</v>
      </c>
    </row>
    <row r="6">
      <c r="A6" s="11" t="s">
        <v>34</v>
      </c>
      <c r="B6" s="12">
        <v>175383.0</v>
      </c>
    </row>
    <row r="7">
      <c r="A7" s="11" t="s">
        <v>35</v>
      </c>
      <c r="B7" s="12">
        <v>1182.0</v>
      </c>
    </row>
    <row r="8">
      <c r="A8" s="11" t="s">
        <v>36</v>
      </c>
      <c r="B8" s="12">
        <v>378571.0</v>
      </c>
    </row>
    <row r="9">
      <c r="A9" s="11" t="s">
        <v>37</v>
      </c>
      <c r="B9" s="12">
        <v>61771.0</v>
      </c>
    </row>
    <row r="10">
      <c r="A10" s="11" t="s">
        <v>38</v>
      </c>
      <c r="B10" s="12">
        <v>413837.0</v>
      </c>
    </row>
    <row r="11">
      <c r="A11" s="11" t="s">
        <v>39</v>
      </c>
      <c r="B11" s="12">
        <v>8910.0</v>
      </c>
    </row>
    <row r="12">
      <c r="A12" s="11" t="s">
        <v>40</v>
      </c>
      <c r="B12" s="12">
        <v>49258.0</v>
      </c>
    </row>
    <row r="13">
      <c r="A13" s="11" t="s">
        <v>41</v>
      </c>
      <c r="B13" s="12">
        <v>8172.0</v>
      </c>
    </row>
    <row r="14">
      <c r="A14" s="11" t="s">
        <v>42</v>
      </c>
      <c r="B14" s="12">
        <v>6137.0</v>
      </c>
    </row>
    <row r="15">
      <c r="A15" s="11" t="s">
        <v>43</v>
      </c>
      <c r="B15" s="12">
        <v>8829.0</v>
      </c>
    </row>
    <row r="16">
      <c r="A16" s="11" t="s">
        <v>44</v>
      </c>
      <c r="B16" s="12">
        <v>132384.0</v>
      </c>
    </row>
    <row r="17">
      <c r="A17" s="11" t="s">
        <v>45</v>
      </c>
      <c r="B17" s="12">
        <v>35214.0</v>
      </c>
    </row>
    <row r="18">
      <c r="A18" s="11" t="s">
        <v>46</v>
      </c>
      <c r="B18" s="12">
        <v>14579.0</v>
      </c>
    </row>
    <row r="19">
      <c r="A19" s="11" t="s">
        <v>47</v>
      </c>
      <c r="B19" s="12">
        <v>27009.0</v>
      </c>
    </row>
    <row r="20">
      <c r="A20" s="11" t="s">
        <v>48</v>
      </c>
      <c r="B20" s="12">
        <v>28013.0</v>
      </c>
    </row>
    <row r="21" ht="15.75" customHeight="1">
      <c r="A21" s="11" t="s">
        <v>49</v>
      </c>
      <c r="B21" s="12">
        <v>31724.0</v>
      </c>
    </row>
    <row r="22" ht="15.75" customHeight="1">
      <c r="A22" s="13" t="s">
        <v>50</v>
      </c>
      <c r="B22" s="14">
        <f>SUM(B2:B21)</f>
        <v>2514202</v>
      </c>
    </row>
    <row r="23" ht="15.75" customHeight="1">
      <c r="A23" s="15"/>
      <c r="B23" s="15"/>
    </row>
    <row r="24" ht="15.75" customHeight="1">
      <c r="A24" s="16" t="s">
        <v>51</v>
      </c>
    </row>
    <row r="25" ht="15.75" customHeight="1">
      <c r="A25" s="1" t="s">
        <v>52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D1"/>
    <mergeCell ref="A24:B24"/>
  </mergeCells>
  <hyperlinks>
    <hyperlink r:id="rId1" ref="A24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9.13"/>
    <col customWidth="1" min="2" max="2" width="28.13"/>
  </cols>
  <sheetData>
    <row r="1">
      <c r="A1" s="17" t="s">
        <v>28</v>
      </c>
      <c r="B1" s="18" t="s">
        <v>53</v>
      </c>
    </row>
    <row r="2">
      <c r="A2" s="19" t="s">
        <v>34</v>
      </c>
      <c r="B2" s="20">
        <v>79631.0</v>
      </c>
    </row>
    <row r="3">
      <c r="A3" s="19" t="s">
        <v>54</v>
      </c>
      <c r="B3" s="20">
        <v>18350.0</v>
      </c>
    </row>
    <row r="4">
      <c r="A4" s="19" t="s">
        <v>33</v>
      </c>
      <c r="B4" s="20">
        <v>14741.0</v>
      </c>
    </row>
    <row r="5">
      <c r="A5" s="19" t="s">
        <v>36</v>
      </c>
      <c r="B5" s="20">
        <v>861951.0</v>
      </c>
    </row>
    <row r="6">
      <c r="A6" s="19" t="s">
        <v>55</v>
      </c>
      <c r="B6" s="20">
        <v>24514.0</v>
      </c>
    </row>
    <row r="7">
      <c r="A7" s="19" t="s">
        <v>56</v>
      </c>
      <c r="B7" s="20">
        <v>174883.0</v>
      </c>
    </row>
    <row r="8">
      <c r="A8" s="19" t="s">
        <v>37</v>
      </c>
      <c r="B8" s="20">
        <v>126281.0</v>
      </c>
    </row>
    <row r="9">
      <c r="A9" s="19" t="s">
        <v>57</v>
      </c>
      <c r="B9" s="20">
        <v>665616.0</v>
      </c>
    </row>
    <row r="10">
      <c r="A10" s="19" t="s">
        <v>39</v>
      </c>
      <c r="B10" s="20">
        <v>16197.0</v>
      </c>
    </row>
    <row r="11">
      <c r="A11" s="19" t="s">
        <v>58</v>
      </c>
      <c r="B11" s="20">
        <v>35264.0</v>
      </c>
    </row>
    <row r="12">
      <c r="A12" s="19" t="s">
        <v>59</v>
      </c>
      <c r="B12" s="20">
        <v>71427.0</v>
      </c>
    </row>
    <row r="13">
      <c r="A13" s="19" t="s">
        <v>60</v>
      </c>
      <c r="B13" s="20">
        <v>9462.0</v>
      </c>
    </row>
    <row r="14">
      <c r="A14" s="19" t="s">
        <v>61</v>
      </c>
      <c r="B14" s="20">
        <v>7366.0</v>
      </c>
    </row>
    <row r="15">
      <c r="A15" s="19" t="s">
        <v>44</v>
      </c>
      <c r="B15" s="20">
        <v>439409.0</v>
      </c>
    </row>
    <row r="16">
      <c r="A16" s="19" t="s">
        <v>62</v>
      </c>
      <c r="B16" s="20">
        <v>41496.0</v>
      </c>
    </row>
    <row r="17">
      <c r="A17" s="19" t="s">
        <v>45</v>
      </c>
      <c r="B17" s="20">
        <v>72792.0</v>
      </c>
    </row>
    <row r="18">
      <c r="A18" s="19" t="s">
        <v>63</v>
      </c>
      <c r="B18" s="20">
        <v>48661.0</v>
      </c>
    </row>
    <row r="19">
      <c r="A19" s="19" t="s">
        <v>64</v>
      </c>
      <c r="B19" s="20">
        <v>9835.0</v>
      </c>
    </row>
    <row r="20">
      <c r="A20" s="19" t="s">
        <v>65</v>
      </c>
      <c r="B20" s="20">
        <v>95.0</v>
      </c>
    </row>
    <row r="21">
      <c r="A21" s="19" t="s">
        <v>66</v>
      </c>
      <c r="B21" s="20">
        <v>3935.0</v>
      </c>
    </row>
    <row r="22">
      <c r="A22" s="19" t="s">
        <v>67</v>
      </c>
      <c r="B22" s="20">
        <v>6625.0</v>
      </c>
    </row>
    <row r="23">
      <c r="A23" s="19" t="s">
        <v>68</v>
      </c>
      <c r="B23" s="20">
        <v>40101.0</v>
      </c>
    </row>
    <row r="24">
      <c r="A24" s="21" t="s">
        <v>69</v>
      </c>
      <c r="B24" s="22">
        <f>SUM(B2:B23)</f>
        <v>2768632</v>
      </c>
    </row>
    <row r="25">
      <c r="A25" s="23"/>
      <c r="B25" s="23"/>
    </row>
    <row r="26">
      <c r="A26" s="24" t="s">
        <v>70</v>
      </c>
    </row>
    <row r="27">
      <c r="A27" s="1" t="s">
        <v>52</v>
      </c>
    </row>
  </sheetData>
  <mergeCells count="1">
    <mergeCell ref="A26:B26"/>
  </mergeCells>
  <hyperlinks>
    <hyperlink r:id="rId1" ref="A2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31.25"/>
  </cols>
  <sheetData>
    <row r="1">
      <c r="A1" s="1" t="s">
        <v>71</v>
      </c>
      <c r="B1" s="25"/>
    </row>
    <row r="2">
      <c r="A2" s="26" t="s">
        <v>28</v>
      </c>
      <c r="B2" s="27" t="s">
        <v>72</v>
      </c>
    </row>
    <row r="3">
      <c r="A3" s="19" t="s">
        <v>73</v>
      </c>
      <c r="B3" s="20">
        <v>13000.0</v>
      </c>
    </row>
    <row r="4">
      <c r="A4" s="19" t="s">
        <v>74</v>
      </c>
      <c r="B4" s="20">
        <v>225000.0</v>
      </c>
    </row>
    <row r="5">
      <c r="A5" s="19" t="s">
        <v>75</v>
      </c>
      <c r="B5" s="20">
        <v>375000.0</v>
      </c>
    </row>
    <row r="6">
      <c r="A6" s="19" t="s">
        <v>76</v>
      </c>
      <c r="B6" s="20">
        <v>6750.0</v>
      </c>
    </row>
    <row r="7">
      <c r="A7" s="19" t="s">
        <v>77</v>
      </c>
      <c r="B7" s="20">
        <v>36000.0</v>
      </c>
    </row>
    <row r="8">
      <c r="A8" s="19" t="s">
        <v>78</v>
      </c>
      <c r="B8" s="20">
        <v>2754.0</v>
      </c>
    </row>
    <row r="9">
      <c r="A9" s="19" t="s">
        <v>79</v>
      </c>
      <c r="B9" s="20">
        <v>80000.0</v>
      </c>
    </row>
    <row r="10">
      <c r="A10" s="19" t="s">
        <v>80</v>
      </c>
      <c r="B10" s="20">
        <v>16000.0</v>
      </c>
    </row>
    <row r="11">
      <c r="A11" s="19" t="s">
        <v>33</v>
      </c>
      <c r="B11" s="20">
        <v>65000.0</v>
      </c>
    </row>
    <row r="12">
      <c r="A12" s="19" t="s">
        <v>81</v>
      </c>
      <c r="B12" s="20">
        <v>23000.0</v>
      </c>
    </row>
    <row r="13">
      <c r="A13" s="19" t="s">
        <v>82</v>
      </c>
      <c r="B13" s="20">
        <v>0.0</v>
      </c>
    </row>
    <row r="14">
      <c r="A14" s="19" t="s">
        <v>83</v>
      </c>
      <c r="B14" s="20">
        <v>8000.0</v>
      </c>
    </row>
    <row r="15">
      <c r="A15" s="19" t="s">
        <v>84</v>
      </c>
      <c r="B15" s="20">
        <v>8000.0</v>
      </c>
    </row>
    <row r="16">
      <c r="A16" s="19" t="s">
        <v>85</v>
      </c>
      <c r="B16" s="20">
        <v>50000.0</v>
      </c>
    </row>
    <row r="17">
      <c r="A17" s="19" t="s">
        <v>86</v>
      </c>
      <c r="B17" s="20">
        <v>35000.0</v>
      </c>
    </row>
    <row r="18">
      <c r="A18" s="19" t="s">
        <v>87</v>
      </c>
      <c r="B18" s="20">
        <v>275000.0</v>
      </c>
    </row>
    <row r="19">
      <c r="A19" s="19" t="s">
        <v>88</v>
      </c>
      <c r="B19" s="20">
        <v>15000.0</v>
      </c>
    </row>
    <row r="20">
      <c r="A20" s="19" t="s">
        <v>89</v>
      </c>
      <c r="B20" s="20">
        <v>65000.0</v>
      </c>
    </row>
    <row r="21">
      <c r="A21" s="19" t="s">
        <v>90</v>
      </c>
      <c r="B21" s="20">
        <v>7500.0</v>
      </c>
    </row>
    <row r="22">
      <c r="A22" s="19" t="s">
        <v>91</v>
      </c>
      <c r="B22" s="20">
        <v>14700.0</v>
      </c>
    </row>
    <row r="23">
      <c r="A23" s="19" t="s">
        <v>92</v>
      </c>
      <c r="B23" s="20">
        <v>18600.0</v>
      </c>
    </row>
    <row r="24">
      <c r="A24" s="19" t="s">
        <v>93</v>
      </c>
      <c r="B24" s="20">
        <v>750.0</v>
      </c>
    </row>
    <row r="25">
      <c r="A25" s="19" t="s">
        <v>94</v>
      </c>
      <c r="B25" s="20">
        <v>77000.0</v>
      </c>
    </row>
    <row r="26">
      <c r="A26" s="19" t="s">
        <v>95</v>
      </c>
      <c r="B26" s="20">
        <v>150000.0</v>
      </c>
    </row>
    <row r="27">
      <c r="A27" s="19" t="s">
        <v>96</v>
      </c>
      <c r="B27" s="20">
        <v>725000.0</v>
      </c>
    </row>
    <row r="28">
      <c r="A28" s="19" t="s">
        <v>97</v>
      </c>
      <c r="B28" s="20">
        <v>360000.0</v>
      </c>
    </row>
    <row r="29">
      <c r="A29" s="19" t="s">
        <v>98</v>
      </c>
      <c r="B29" s="20">
        <v>55000.0</v>
      </c>
    </row>
    <row r="30">
      <c r="A30" s="19" t="s">
        <v>99</v>
      </c>
      <c r="B30" s="20">
        <v>25000.0</v>
      </c>
    </row>
    <row r="31">
      <c r="A31" s="19" t="s">
        <v>100</v>
      </c>
      <c r="B31" s="20">
        <v>5000.0</v>
      </c>
    </row>
    <row r="32">
      <c r="A32" s="19" t="s">
        <v>101</v>
      </c>
      <c r="B32" s="20">
        <v>345000.0</v>
      </c>
    </row>
    <row r="33">
      <c r="A33" s="19" t="s">
        <v>102</v>
      </c>
      <c r="B33" s="20">
        <v>5000.0</v>
      </c>
    </row>
    <row r="34">
      <c r="A34" s="19" t="s">
        <v>103</v>
      </c>
      <c r="B34" s="20">
        <v>740000.0</v>
      </c>
    </row>
    <row r="35">
      <c r="A35" s="19" t="s">
        <v>104</v>
      </c>
      <c r="B35" s="20">
        <v>0.0</v>
      </c>
    </row>
    <row r="36">
      <c r="A36" s="21" t="s">
        <v>69</v>
      </c>
      <c r="B36" s="22">
        <f>SUM(B2:B35)</f>
        <v>3827054</v>
      </c>
    </row>
    <row r="37">
      <c r="B37" s="25"/>
    </row>
    <row r="38">
      <c r="A38" s="24" t="s">
        <v>105</v>
      </c>
    </row>
    <row r="39">
      <c r="A39" s="1" t="s">
        <v>52</v>
      </c>
      <c r="B39" s="25"/>
    </row>
    <row r="40">
      <c r="B40" s="25"/>
    </row>
    <row r="41">
      <c r="B41" s="25"/>
    </row>
    <row r="42">
      <c r="B42" s="25"/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  <row r="998">
      <c r="B998" s="25"/>
    </row>
    <row r="999">
      <c r="B999" s="25"/>
    </row>
    <row r="1000">
      <c r="B1000" s="25"/>
    </row>
    <row r="1001">
      <c r="B1001" s="25"/>
    </row>
    <row r="1002">
      <c r="B1002" s="25"/>
    </row>
  </sheetData>
  <mergeCells count="1">
    <mergeCell ref="A38:B38"/>
  </mergeCells>
  <hyperlinks>
    <hyperlink r:id="rId1" ref="A38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2.63" defaultRowHeight="15.0"/>
  <cols>
    <col customWidth="1" min="1" max="1" width="46.63"/>
    <col customWidth="1" min="2" max="2" width="27.75"/>
    <col customWidth="1" min="3" max="25" width="8.63"/>
  </cols>
  <sheetData>
    <row r="1">
      <c r="A1" s="28" t="s">
        <v>28</v>
      </c>
      <c r="B1" s="29" t="s">
        <v>106</v>
      </c>
    </row>
    <row r="2">
      <c r="A2" s="30" t="s">
        <v>107</v>
      </c>
      <c r="B2" s="31">
        <v>85383.0</v>
      </c>
    </row>
    <row r="3">
      <c r="A3" s="30" t="s">
        <v>108</v>
      </c>
      <c r="B3" s="31">
        <v>0.0</v>
      </c>
    </row>
    <row r="4">
      <c r="A4" s="30" t="s">
        <v>109</v>
      </c>
      <c r="B4" s="31">
        <v>4915849.0</v>
      </c>
    </row>
    <row r="5">
      <c r="A5" s="30" t="s">
        <v>110</v>
      </c>
      <c r="B5" s="31">
        <v>835682.0</v>
      </c>
    </row>
    <row r="6">
      <c r="A6" s="30" t="s">
        <v>111</v>
      </c>
      <c r="B6" s="31">
        <v>245281.0</v>
      </c>
    </row>
    <row r="7">
      <c r="A7" s="30" t="s">
        <v>112</v>
      </c>
      <c r="B7" s="31">
        <v>21417.0</v>
      </c>
    </row>
    <row r="8">
      <c r="A8" s="30" t="s">
        <v>113</v>
      </c>
      <c r="B8" s="31">
        <v>26748.0</v>
      </c>
    </row>
    <row r="9">
      <c r="A9" s="30" t="s">
        <v>114</v>
      </c>
      <c r="B9" s="31">
        <v>264395.0</v>
      </c>
    </row>
    <row r="10">
      <c r="A10" s="30" t="s">
        <v>115</v>
      </c>
      <c r="B10" s="31">
        <v>25840.0</v>
      </c>
    </row>
    <row r="11">
      <c r="A11" s="30" t="s">
        <v>116</v>
      </c>
      <c r="B11" s="31">
        <v>7964.0</v>
      </c>
    </row>
    <row r="12">
      <c r="A12" s="30" t="s">
        <v>117</v>
      </c>
      <c r="B12" s="31">
        <v>76330.0</v>
      </c>
    </row>
    <row r="13">
      <c r="A13" s="30" t="s">
        <v>118</v>
      </c>
      <c r="B13" s="31">
        <v>25239.0</v>
      </c>
    </row>
    <row r="14">
      <c r="A14" s="30" t="s">
        <v>119</v>
      </c>
      <c r="B14" s="31">
        <v>6099.0</v>
      </c>
    </row>
    <row r="15">
      <c r="A15" s="30" t="s">
        <v>120</v>
      </c>
      <c r="B15" s="31">
        <v>86233.0</v>
      </c>
    </row>
    <row r="16">
      <c r="A16" s="32" t="s">
        <v>121</v>
      </c>
      <c r="B16" s="31">
        <v>336072.0</v>
      </c>
    </row>
    <row r="17">
      <c r="A17" s="11" t="s">
        <v>122</v>
      </c>
      <c r="B17" s="33">
        <v>813153.0</v>
      </c>
    </row>
    <row r="18">
      <c r="A18" s="11" t="s">
        <v>123</v>
      </c>
      <c r="B18" s="33">
        <v>67333.0</v>
      </c>
    </row>
    <row r="19">
      <c r="A19" s="11" t="s">
        <v>124</v>
      </c>
      <c r="B19" s="33">
        <v>50376.0</v>
      </c>
    </row>
    <row r="20">
      <c r="A20" s="11" t="s">
        <v>125</v>
      </c>
      <c r="B20" s="33">
        <v>26748.0</v>
      </c>
    </row>
    <row r="21">
      <c r="A21" s="11" t="s">
        <v>126</v>
      </c>
      <c r="B21" s="33">
        <v>265527.0</v>
      </c>
    </row>
    <row r="22">
      <c r="A22" s="11" t="s">
        <v>127</v>
      </c>
      <c r="B22" s="33">
        <v>16212.0</v>
      </c>
    </row>
    <row r="23">
      <c r="A23" s="11" t="s">
        <v>128</v>
      </c>
      <c r="B23" s="33">
        <v>170435.0</v>
      </c>
    </row>
    <row r="24">
      <c r="A24" s="11" t="s">
        <v>129</v>
      </c>
      <c r="B24" s="33">
        <v>25840.0</v>
      </c>
    </row>
    <row r="25">
      <c r="A25" s="11" t="s">
        <v>130</v>
      </c>
      <c r="B25" s="33">
        <v>7964.0</v>
      </c>
    </row>
    <row r="26">
      <c r="A26" s="11" t="s">
        <v>131</v>
      </c>
      <c r="B26" s="33">
        <v>33068.0</v>
      </c>
    </row>
    <row r="27">
      <c r="A27" s="11" t="s">
        <v>132</v>
      </c>
      <c r="B27" s="33">
        <v>6099.0</v>
      </c>
    </row>
    <row r="28">
      <c r="A28" s="11" t="s">
        <v>133</v>
      </c>
      <c r="B28" s="33">
        <v>1529831.0</v>
      </c>
    </row>
    <row r="29">
      <c r="A29" s="11" t="s">
        <v>134</v>
      </c>
      <c r="B29" s="33">
        <v>9000.0</v>
      </c>
    </row>
    <row r="30">
      <c r="A30" s="11" t="s">
        <v>135</v>
      </c>
      <c r="B30" s="33">
        <v>724910.0</v>
      </c>
    </row>
    <row r="31">
      <c r="A31" s="11" t="s">
        <v>136</v>
      </c>
      <c r="B31" s="33">
        <v>65353.0</v>
      </c>
    </row>
    <row r="32">
      <c r="A32" s="34" t="s">
        <v>137</v>
      </c>
      <c r="B32" s="33">
        <v>52849.0</v>
      </c>
    </row>
    <row r="33">
      <c r="A33" s="34" t="s">
        <v>138</v>
      </c>
      <c r="B33" s="33">
        <v>27557.0</v>
      </c>
    </row>
    <row r="34">
      <c r="A34" s="11" t="s">
        <v>139</v>
      </c>
      <c r="B34" s="33">
        <v>117604.0</v>
      </c>
    </row>
    <row r="35">
      <c r="A35" s="11" t="s">
        <v>140</v>
      </c>
      <c r="B35" s="33">
        <v>252460.0</v>
      </c>
    </row>
    <row r="36" ht="15.75" customHeight="1">
      <c r="A36" s="11" t="s">
        <v>141</v>
      </c>
      <c r="B36" s="33">
        <v>48639.0</v>
      </c>
    </row>
    <row r="37" ht="15.75" customHeight="1">
      <c r="A37" s="11" t="s">
        <v>142</v>
      </c>
      <c r="B37" s="33">
        <v>548948.0</v>
      </c>
    </row>
    <row r="38" ht="15.75" customHeight="1">
      <c r="A38" s="34" t="s">
        <v>143</v>
      </c>
      <c r="B38" s="33">
        <v>18578.0</v>
      </c>
    </row>
    <row r="39" ht="15.75" customHeight="1">
      <c r="A39" s="11" t="s">
        <v>144</v>
      </c>
      <c r="B39" s="33">
        <v>33000.0</v>
      </c>
    </row>
    <row r="40" ht="15.75" customHeight="1">
      <c r="A40" s="11" t="s">
        <v>145</v>
      </c>
      <c r="B40" s="33">
        <v>17723.0</v>
      </c>
    </row>
    <row r="41" ht="15.75" customHeight="1">
      <c r="A41" s="11" t="s">
        <v>146</v>
      </c>
      <c r="B41" s="33">
        <v>74664.0</v>
      </c>
    </row>
    <row r="42" ht="15.75" customHeight="1">
      <c r="A42" s="11" t="s">
        <v>147</v>
      </c>
      <c r="B42" s="33">
        <v>1687.0</v>
      </c>
    </row>
    <row r="43" ht="15.75" customHeight="1">
      <c r="A43" s="11" t="s">
        <v>148</v>
      </c>
      <c r="B43" s="33">
        <v>33301.0</v>
      </c>
    </row>
    <row r="44" ht="15.75" customHeight="1">
      <c r="A44" s="11" t="s">
        <v>149</v>
      </c>
      <c r="B44" s="33">
        <v>784.0</v>
      </c>
    </row>
    <row r="45" ht="15.75" customHeight="1">
      <c r="A45" s="11" t="s">
        <v>150</v>
      </c>
      <c r="B45" s="33">
        <v>278.0</v>
      </c>
    </row>
    <row r="46" ht="15.75" customHeight="1">
      <c r="A46" s="11" t="s">
        <v>151</v>
      </c>
      <c r="B46" s="33">
        <v>45854.0</v>
      </c>
    </row>
    <row r="47" ht="15.75" customHeight="1">
      <c r="A47" s="11" t="s">
        <v>152</v>
      </c>
      <c r="B47" s="33">
        <v>120322.0</v>
      </c>
    </row>
    <row r="48" ht="15.75" customHeight="1">
      <c r="A48" s="11" t="s">
        <v>153</v>
      </c>
      <c r="B48" s="33">
        <v>5222.0</v>
      </c>
    </row>
    <row r="49" ht="15.75" customHeight="1">
      <c r="A49" s="11" t="s">
        <v>154</v>
      </c>
      <c r="B49" s="33">
        <v>753.0</v>
      </c>
    </row>
    <row r="50" ht="15.75" customHeight="1">
      <c r="A50" s="11" t="s">
        <v>155</v>
      </c>
      <c r="B50" s="33">
        <v>1295.0</v>
      </c>
    </row>
    <row r="51" ht="15.75" customHeight="1">
      <c r="A51" s="11" t="s">
        <v>156</v>
      </c>
      <c r="B51" s="33">
        <v>1280.0</v>
      </c>
    </row>
    <row r="52" ht="15.75" customHeight="1">
      <c r="A52" s="11" t="s">
        <v>157</v>
      </c>
      <c r="B52" s="33">
        <v>3350.0</v>
      </c>
    </row>
    <row r="53" ht="15.75" customHeight="1">
      <c r="A53" s="34" t="s">
        <v>158</v>
      </c>
      <c r="B53" s="33">
        <v>0.0</v>
      </c>
    </row>
    <row r="54" ht="15.75" customHeight="1">
      <c r="A54" s="11" t="s">
        <v>159</v>
      </c>
      <c r="B54" s="33">
        <v>2938.0</v>
      </c>
    </row>
    <row r="55" ht="15.75" customHeight="1">
      <c r="A55" s="11" t="s">
        <v>160</v>
      </c>
      <c r="B55" s="33">
        <v>919653.0</v>
      </c>
    </row>
    <row r="56" ht="15.75" customHeight="1">
      <c r="A56" s="11" t="s">
        <v>161</v>
      </c>
      <c r="B56" s="33">
        <v>16050.0</v>
      </c>
    </row>
    <row r="57" ht="15.75" customHeight="1">
      <c r="A57" s="11" t="s">
        <v>162</v>
      </c>
      <c r="B57" s="33">
        <v>1228.0</v>
      </c>
    </row>
    <row r="58" ht="15.75" customHeight="1">
      <c r="A58" s="11" t="s">
        <v>163</v>
      </c>
      <c r="B58" s="33">
        <v>6800.0</v>
      </c>
    </row>
    <row r="59" ht="15.75" customHeight="1">
      <c r="A59" s="13" t="s">
        <v>69</v>
      </c>
      <c r="B59" s="35">
        <f> sum(B2:B58)</f>
        <v>13123198</v>
      </c>
      <c r="C59" s="36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ht="15.75" customHeight="1">
      <c r="A60" s="38"/>
      <c r="B60" s="38"/>
    </row>
    <row r="61" ht="15.75" customHeight="1">
      <c r="A61" s="39" t="s">
        <v>164</v>
      </c>
      <c r="B61" s="10"/>
    </row>
    <row r="62" ht="15.75" customHeight="1">
      <c r="A62" s="1" t="s">
        <v>52</v>
      </c>
    </row>
    <row r="63" ht="15.75" customHeight="1">
      <c r="A63" s="1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1">
    <mergeCell ref="A61:B61"/>
  </mergeCells>
  <hyperlinks>
    <hyperlink r:id="rId1" ref="A61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29.25"/>
    <col customWidth="1" min="3" max="26" width="8.63"/>
  </cols>
  <sheetData>
    <row r="1">
      <c r="A1" s="7" t="s">
        <v>28</v>
      </c>
      <c r="B1" s="8" t="s">
        <v>29</v>
      </c>
    </row>
    <row r="2">
      <c r="A2" s="11" t="s">
        <v>77</v>
      </c>
      <c r="B2" s="12">
        <v>30203.0</v>
      </c>
    </row>
    <row r="3">
      <c r="A3" s="11" t="s">
        <v>165</v>
      </c>
      <c r="B3" s="12">
        <v>3330.0</v>
      </c>
    </row>
    <row r="4">
      <c r="A4" s="11" t="s">
        <v>166</v>
      </c>
      <c r="B4" s="12">
        <v>6964.0</v>
      </c>
    </row>
    <row r="5">
      <c r="A5" s="11" t="s">
        <v>167</v>
      </c>
      <c r="B5" s="12">
        <v>391840.0</v>
      </c>
    </row>
    <row r="6">
      <c r="A6" s="11" t="s">
        <v>91</v>
      </c>
      <c r="B6" s="12">
        <v>36423.0</v>
      </c>
    </row>
    <row r="7">
      <c r="A7" s="11" t="s">
        <v>168</v>
      </c>
      <c r="B7" s="12">
        <v>12524.0</v>
      </c>
    </row>
    <row r="8">
      <c r="A8" s="11" t="s">
        <v>93</v>
      </c>
      <c r="B8" s="12">
        <v>750.0</v>
      </c>
    </row>
    <row r="9">
      <c r="A9" s="11" t="s">
        <v>79</v>
      </c>
      <c r="B9" s="40">
        <v>74725.0</v>
      </c>
    </row>
    <row r="10">
      <c r="A10" s="11" t="s">
        <v>169</v>
      </c>
      <c r="B10" s="12">
        <v>0.0</v>
      </c>
    </row>
    <row r="11">
      <c r="A11" s="11" t="s">
        <v>80</v>
      </c>
      <c r="B11" s="12">
        <v>20500.0</v>
      </c>
    </row>
    <row r="12">
      <c r="A12" s="11" t="s">
        <v>170</v>
      </c>
      <c r="B12" s="12">
        <v>130995.0</v>
      </c>
    </row>
    <row r="13">
      <c r="A13" s="11" t="s">
        <v>171</v>
      </c>
      <c r="B13" s="12">
        <v>14393.0</v>
      </c>
    </row>
    <row r="14">
      <c r="A14" s="11" t="s">
        <v>172</v>
      </c>
      <c r="B14" s="12">
        <v>25650.0</v>
      </c>
    </row>
    <row r="15">
      <c r="A15" s="34" t="s">
        <v>173</v>
      </c>
      <c r="B15" s="12">
        <v>19810.0</v>
      </c>
    </row>
    <row r="16">
      <c r="A16" s="11" t="s">
        <v>174</v>
      </c>
      <c r="B16" s="12">
        <v>300663.0</v>
      </c>
    </row>
    <row r="17">
      <c r="A17" s="11" t="s">
        <v>175</v>
      </c>
      <c r="B17" s="12">
        <v>0.0</v>
      </c>
    </row>
    <row r="18">
      <c r="A18" s="11" t="s">
        <v>176</v>
      </c>
      <c r="B18" s="12">
        <v>6745.0</v>
      </c>
    </row>
    <row r="19">
      <c r="A19" s="11" t="s">
        <v>177</v>
      </c>
      <c r="B19" s="12">
        <v>19206.0</v>
      </c>
    </row>
    <row r="20">
      <c r="A20" s="11" t="s">
        <v>178</v>
      </c>
      <c r="B20" s="12">
        <v>84835.0</v>
      </c>
    </row>
    <row r="21" ht="15.75" customHeight="1">
      <c r="A21" s="11" t="s">
        <v>179</v>
      </c>
      <c r="B21" s="12">
        <v>264279.0</v>
      </c>
    </row>
    <row r="22" ht="15.75" customHeight="1">
      <c r="A22" s="11" t="s">
        <v>180</v>
      </c>
      <c r="B22" s="12">
        <v>55030.0</v>
      </c>
    </row>
    <row r="23" ht="15.75" customHeight="1">
      <c r="A23" s="11" t="s">
        <v>181</v>
      </c>
      <c r="B23" s="12">
        <v>0.0</v>
      </c>
    </row>
    <row r="24" ht="15.75" customHeight="1">
      <c r="A24" s="11" t="s">
        <v>182</v>
      </c>
      <c r="B24" s="12">
        <v>0.0</v>
      </c>
    </row>
    <row r="25" ht="15.75" customHeight="1">
      <c r="A25" s="11" t="s">
        <v>183</v>
      </c>
      <c r="B25" s="12">
        <v>0.0</v>
      </c>
    </row>
    <row r="26" ht="15.75" customHeight="1">
      <c r="A26" s="11" t="s">
        <v>89</v>
      </c>
      <c r="B26" s="40">
        <v>38506.0</v>
      </c>
    </row>
    <row r="27" ht="15.75" customHeight="1">
      <c r="A27" s="11" t="s">
        <v>45</v>
      </c>
      <c r="B27" s="40">
        <v>1406.0</v>
      </c>
    </row>
    <row r="28" ht="15.75" customHeight="1">
      <c r="A28" s="11" t="s">
        <v>37</v>
      </c>
      <c r="B28" s="40">
        <v>31075.0</v>
      </c>
    </row>
    <row r="29" ht="15.75" customHeight="1">
      <c r="A29" s="34" t="s">
        <v>184</v>
      </c>
      <c r="B29" s="40">
        <v>2300.0</v>
      </c>
    </row>
    <row r="30" ht="15.75" customHeight="1">
      <c r="A30" s="11" t="s">
        <v>185</v>
      </c>
      <c r="B30" s="40">
        <v>4855.0</v>
      </c>
    </row>
    <row r="31" ht="15.75" customHeight="1">
      <c r="A31" s="11" t="s">
        <v>186</v>
      </c>
      <c r="B31" s="40">
        <v>23227.0</v>
      </c>
    </row>
    <row r="32" ht="15.75" customHeight="1">
      <c r="A32" s="13" t="s">
        <v>69</v>
      </c>
      <c r="B32" s="14">
        <f>SUM(B2:B31)</f>
        <v>1600234</v>
      </c>
    </row>
    <row r="33" ht="15.75" customHeight="1">
      <c r="A33" s="41"/>
      <c r="B33" s="41"/>
    </row>
    <row r="34" ht="15.75" customHeight="1">
      <c r="A34" s="16" t="s">
        <v>187</v>
      </c>
    </row>
    <row r="35" ht="15.75" customHeight="1">
      <c r="A35" s="1" t="s">
        <v>52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34:B34"/>
  </mergeCells>
  <hyperlinks>
    <hyperlink r:id="rId1" ref="A34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34.25"/>
    <col customWidth="1" min="3" max="26" width="8.63"/>
  </cols>
  <sheetData>
    <row r="1">
      <c r="A1" s="28" t="s">
        <v>28</v>
      </c>
      <c r="B1" s="29" t="s">
        <v>188</v>
      </c>
    </row>
    <row r="2">
      <c r="A2" s="11" t="s">
        <v>54</v>
      </c>
      <c r="B2" s="12">
        <v>10950.0</v>
      </c>
    </row>
    <row r="3">
      <c r="A3" s="11" t="s">
        <v>34</v>
      </c>
      <c r="B3" s="12">
        <v>128695.0</v>
      </c>
    </row>
    <row r="4">
      <c r="A4" s="11" t="s">
        <v>33</v>
      </c>
      <c r="B4" s="12">
        <v>225733.0</v>
      </c>
    </row>
    <row r="5">
      <c r="A5" s="11" t="s">
        <v>189</v>
      </c>
      <c r="B5" s="12">
        <v>900.0</v>
      </c>
    </row>
    <row r="6">
      <c r="A6" s="11" t="s">
        <v>55</v>
      </c>
      <c r="B6" s="12">
        <v>88971.0</v>
      </c>
    </row>
    <row r="7">
      <c r="A7" s="11" t="s">
        <v>190</v>
      </c>
      <c r="B7" s="12">
        <v>225201.0</v>
      </c>
    </row>
    <row r="8">
      <c r="A8" s="11" t="s">
        <v>191</v>
      </c>
      <c r="B8" s="12">
        <v>2500.0</v>
      </c>
    </row>
    <row r="9">
      <c r="A9" s="11" t="s">
        <v>192</v>
      </c>
      <c r="B9" s="12">
        <v>50723.0</v>
      </c>
    </row>
    <row r="10">
      <c r="A10" s="11" t="s">
        <v>193</v>
      </c>
      <c r="B10" s="12">
        <v>40996.0</v>
      </c>
    </row>
    <row r="11">
      <c r="A11" s="11" t="s">
        <v>194</v>
      </c>
      <c r="B11" s="12">
        <v>225194.0</v>
      </c>
    </row>
    <row r="12">
      <c r="A12" s="11" t="s">
        <v>195</v>
      </c>
      <c r="B12" s="40">
        <v>1710163.0</v>
      </c>
    </row>
    <row r="13">
      <c r="A13" s="11" t="s">
        <v>196</v>
      </c>
      <c r="B13" s="12">
        <v>1172308.0</v>
      </c>
    </row>
    <row r="14">
      <c r="A14" s="11" t="s">
        <v>68</v>
      </c>
      <c r="B14" s="12">
        <v>90909.0</v>
      </c>
    </row>
    <row r="15">
      <c r="A15" s="11" t="s">
        <v>45</v>
      </c>
      <c r="B15" s="12">
        <v>98878.0</v>
      </c>
    </row>
    <row r="16">
      <c r="A16" s="11" t="s">
        <v>197</v>
      </c>
      <c r="B16" s="12">
        <v>46157.0</v>
      </c>
    </row>
    <row r="17">
      <c r="A17" s="11" t="s">
        <v>198</v>
      </c>
      <c r="B17" s="12">
        <v>18424.0</v>
      </c>
    </row>
    <row r="18">
      <c r="A18" s="11" t="s">
        <v>199</v>
      </c>
      <c r="B18" s="12">
        <v>6125.0</v>
      </c>
    </row>
    <row r="19">
      <c r="A19" s="11" t="s">
        <v>200</v>
      </c>
      <c r="B19" s="12">
        <v>11712.0</v>
      </c>
    </row>
    <row r="20">
      <c r="A20" s="34" t="s">
        <v>201</v>
      </c>
      <c r="B20" s="12">
        <v>10522.0</v>
      </c>
    </row>
    <row r="21" ht="15.75" customHeight="1">
      <c r="A21" s="11" t="s">
        <v>202</v>
      </c>
      <c r="B21" s="12">
        <v>329520.0</v>
      </c>
    </row>
    <row r="22" ht="15.75" customHeight="1">
      <c r="A22" s="11" t="s">
        <v>203</v>
      </c>
      <c r="B22" s="12">
        <v>652727.0</v>
      </c>
    </row>
    <row r="23" ht="15.75" customHeight="1">
      <c r="A23" s="11" t="s">
        <v>77</v>
      </c>
      <c r="B23" s="12">
        <v>21256.0</v>
      </c>
    </row>
    <row r="24" ht="15.75" customHeight="1">
      <c r="A24" s="11" t="s">
        <v>59</v>
      </c>
      <c r="B24" s="40">
        <v>20464.0</v>
      </c>
    </row>
    <row r="25" ht="15.75" customHeight="1">
      <c r="A25" s="11" t="s">
        <v>58</v>
      </c>
      <c r="B25" s="12">
        <v>67810.0</v>
      </c>
    </row>
    <row r="26" ht="15.75" customHeight="1">
      <c r="A26" s="11" t="s">
        <v>204</v>
      </c>
      <c r="B26" s="12">
        <v>15406.0</v>
      </c>
    </row>
    <row r="27" ht="15.75" customHeight="1">
      <c r="A27" s="34" t="s">
        <v>61</v>
      </c>
      <c r="B27" s="12">
        <v>73905.0</v>
      </c>
    </row>
    <row r="28" ht="15.75" customHeight="1">
      <c r="A28" s="11" t="s">
        <v>205</v>
      </c>
      <c r="B28" s="12">
        <v>689157.0</v>
      </c>
    </row>
    <row r="29" ht="15.75" customHeight="1">
      <c r="A29" s="11" t="s">
        <v>206</v>
      </c>
      <c r="B29" s="12">
        <v>260500.0</v>
      </c>
    </row>
    <row r="30" ht="15.75" customHeight="1">
      <c r="A30" s="11" t="s">
        <v>207</v>
      </c>
      <c r="B30" s="12">
        <v>2260000.0</v>
      </c>
    </row>
    <row r="31" ht="15.75" customHeight="1">
      <c r="A31" s="11" t="s">
        <v>208</v>
      </c>
      <c r="B31" s="12">
        <v>1304394.0</v>
      </c>
    </row>
    <row r="32" ht="15.75" customHeight="1">
      <c r="A32" s="34" t="s">
        <v>209</v>
      </c>
      <c r="B32" s="12">
        <v>4650.0</v>
      </c>
    </row>
    <row r="33" ht="15.75" customHeight="1">
      <c r="A33" s="13" t="s">
        <v>69</v>
      </c>
      <c r="B33" s="14">
        <f>SUM(B2:B32)</f>
        <v>9864850</v>
      </c>
    </row>
    <row r="34" ht="15.75" customHeight="1">
      <c r="A34" s="38"/>
      <c r="B34" s="38"/>
    </row>
    <row r="35" ht="15.75" customHeight="1">
      <c r="A35" s="16" t="s">
        <v>210</v>
      </c>
    </row>
    <row r="36" ht="15.75" customHeight="1">
      <c r="A36" s="1" t="s">
        <v>52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5:B35"/>
  </mergeCells>
  <hyperlinks>
    <hyperlink r:id="rId1" ref="A35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33.38"/>
    <col customWidth="1" min="3" max="26" width="8.63"/>
  </cols>
  <sheetData>
    <row r="1">
      <c r="A1" s="17" t="s">
        <v>28</v>
      </c>
      <c r="B1" s="42" t="s">
        <v>211</v>
      </c>
    </row>
    <row r="2">
      <c r="A2" s="19" t="s">
        <v>212</v>
      </c>
      <c r="B2" s="43">
        <v>0.0</v>
      </c>
    </row>
    <row r="3">
      <c r="A3" s="19" t="s">
        <v>213</v>
      </c>
      <c r="B3" s="43">
        <v>992884.41</v>
      </c>
    </row>
    <row r="4">
      <c r="A4" s="19" t="s">
        <v>214</v>
      </c>
      <c r="B4" s="43">
        <v>13367.96</v>
      </c>
    </row>
    <row r="5">
      <c r="A5" s="19" t="s">
        <v>215</v>
      </c>
      <c r="B5" s="43">
        <v>33062.6</v>
      </c>
    </row>
    <row r="6">
      <c r="A6" s="19" t="s">
        <v>216</v>
      </c>
      <c r="B6" s="43">
        <v>394218.93</v>
      </c>
    </row>
    <row r="7">
      <c r="A7" s="19" t="s">
        <v>217</v>
      </c>
      <c r="B7" s="43">
        <v>645476.4</v>
      </c>
    </row>
    <row r="8">
      <c r="A8" s="19" t="s">
        <v>218</v>
      </c>
      <c r="B8" s="43">
        <v>309930.95</v>
      </c>
    </row>
    <row r="9">
      <c r="A9" s="19" t="s">
        <v>219</v>
      </c>
      <c r="B9" s="43">
        <v>1610.85</v>
      </c>
    </row>
    <row r="10">
      <c r="A10" s="19" t="s">
        <v>220</v>
      </c>
      <c r="B10" s="43">
        <v>9836.0</v>
      </c>
    </row>
    <row r="11">
      <c r="A11" s="19" t="s">
        <v>221</v>
      </c>
      <c r="B11" s="43">
        <v>129250.42</v>
      </c>
    </row>
    <row r="12">
      <c r="A12" s="19" t="s">
        <v>222</v>
      </c>
      <c r="B12" s="43">
        <v>23200.0</v>
      </c>
    </row>
    <row r="13">
      <c r="A13" s="19" t="s">
        <v>223</v>
      </c>
      <c r="B13" s="43">
        <v>35288.78</v>
      </c>
    </row>
    <row r="14">
      <c r="A14" s="19" t="s">
        <v>224</v>
      </c>
      <c r="B14" s="43">
        <v>0.0</v>
      </c>
    </row>
    <row r="15">
      <c r="A15" s="19" t="s">
        <v>225</v>
      </c>
      <c r="B15" s="43">
        <v>17968.97</v>
      </c>
    </row>
    <row r="16">
      <c r="A16" s="19" t="s">
        <v>226</v>
      </c>
      <c r="B16" s="43">
        <v>22908.5</v>
      </c>
    </row>
    <row r="17">
      <c r="A17" s="19" t="s">
        <v>227</v>
      </c>
      <c r="B17" s="43">
        <v>6721.94</v>
      </c>
    </row>
    <row r="18">
      <c r="A18" s="19" t="s">
        <v>228</v>
      </c>
      <c r="B18" s="43">
        <v>213840.06</v>
      </c>
    </row>
    <row r="19">
      <c r="A19" s="19" t="s">
        <v>229</v>
      </c>
      <c r="B19" s="43">
        <v>19467.98</v>
      </c>
    </row>
    <row r="20">
      <c r="A20" s="19" t="s">
        <v>230</v>
      </c>
      <c r="B20" s="43">
        <v>1046.9</v>
      </c>
    </row>
    <row r="21" ht="15.75" customHeight="1">
      <c r="A21" s="19" t="s">
        <v>231</v>
      </c>
      <c r="B21" s="43">
        <v>167948.01</v>
      </c>
    </row>
    <row r="22" ht="15.75" customHeight="1">
      <c r="A22" s="19" t="s">
        <v>232</v>
      </c>
      <c r="B22" s="43">
        <v>25228.0</v>
      </c>
    </row>
    <row r="23" ht="15.75" customHeight="1">
      <c r="A23" s="19" t="s">
        <v>233</v>
      </c>
      <c r="B23" s="43">
        <v>34.06</v>
      </c>
    </row>
    <row r="24" ht="15.75" customHeight="1">
      <c r="A24" s="19" t="s">
        <v>234</v>
      </c>
      <c r="B24" s="43">
        <v>17494.09</v>
      </c>
    </row>
    <row r="25" ht="15.75" customHeight="1">
      <c r="A25" s="19" t="s">
        <v>235</v>
      </c>
      <c r="B25" s="43">
        <v>162359.72</v>
      </c>
    </row>
    <row r="26" ht="15.75" customHeight="1">
      <c r="A26" s="19" t="s">
        <v>236</v>
      </c>
      <c r="B26" s="43">
        <v>752.53</v>
      </c>
    </row>
    <row r="27" ht="15.75" customHeight="1">
      <c r="A27" s="19" t="s">
        <v>237</v>
      </c>
      <c r="B27" s="43">
        <v>306159.72</v>
      </c>
    </row>
    <row r="28" ht="15.75" customHeight="1">
      <c r="A28" s="21" t="s">
        <v>238</v>
      </c>
      <c r="B28" s="44">
        <f>SUM(B2:B27)</f>
        <v>3550057.78</v>
      </c>
    </row>
    <row r="29" ht="15.75" customHeight="1">
      <c r="A29" s="45"/>
      <c r="B29" s="45"/>
    </row>
    <row r="30" ht="15.75" customHeight="1">
      <c r="A30" s="46" t="s">
        <v>239</v>
      </c>
    </row>
    <row r="31" ht="15.75" customHeight="1">
      <c r="A31" s="1" t="s">
        <v>52</v>
      </c>
      <c r="B31" s="47"/>
    </row>
    <row r="32" ht="15.75" customHeight="1">
      <c r="B32" s="47"/>
    </row>
    <row r="33" ht="15.75" customHeight="1">
      <c r="B33" s="47"/>
    </row>
    <row r="34" ht="15.75" customHeight="1">
      <c r="B34" s="47"/>
    </row>
    <row r="35" ht="15.75" customHeight="1">
      <c r="B35" s="47"/>
    </row>
    <row r="36" ht="15.75" customHeight="1">
      <c r="B36" s="47"/>
    </row>
    <row r="37" ht="15.75" customHeight="1">
      <c r="B37" s="47"/>
    </row>
    <row r="38" ht="15.75" customHeight="1">
      <c r="B38" s="47"/>
    </row>
    <row r="39" ht="15.75" customHeight="1">
      <c r="B39" s="47"/>
    </row>
    <row r="40" ht="15.75" customHeight="1">
      <c r="B40" s="47"/>
    </row>
    <row r="41" ht="15.75" customHeight="1">
      <c r="B41" s="47"/>
    </row>
    <row r="42" ht="15.75" customHeight="1">
      <c r="B42" s="47"/>
    </row>
    <row r="43" ht="15.75" customHeight="1">
      <c r="B43" s="47"/>
    </row>
    <row r="44" ht="15.75" customHeight="1">
      <c r="B44" s="47"/>
    </row>
    <row r="45" ht="15.75" customHeight="1">
      <c r="B45" s="47"/>
    </row>
    <row r="46" ht="15.75" customHeight="1">
      <c r="B46" s="47"/>
    </row>
    <row r="47" ht="15.75" customHeight="1">
      <c r="B47" s="47"/>
    </row>
    <row r="48" ht="15.75" customHeight="1">
      <c r="B48" s="47"/>
    </row>
    <row r="49" ht="15.75" customHeight="1">
      <c r="B49" s="47"/>
    </row>
    <row r="50" ht="15.75" customHeight="1">
      <c r="B50" s="47"/>
    </row>
    <row r="51" ht="15.75" customHeight="1">
      <c r="B51" s="47"/>
    </row>
    <row r="52" ht="15.75" customHeight="1">
      <c r="B52" s="47"/>
    </row>
    <row r="53" ht="15.75" customHeight="1">
      <c r="B53" s="47"/>
    </row>
    <row r="54" ht="15.75" customHeight="1">
      <c r="B54" s="47"/>
    </row>
    <row r="55" ht="15.75" customHeight="1">
      <c r="B55" s="47"/>
    </row>
    <row r="56" ht="15.75" customHeight="1">
      <c r="B56" s="47"/>
    </row>
    <row r="57" ht="15.75" customHeight="1">
      <c r="B57" s="47"/>
    </row>
    <row r="58" ht="15.75" customHeight="1">
      <c r="B58" s="47"/>
    </row>
    <row r="59" ht="15.75" customHeight="1">
      <c r="B59" s="47"/>
    </row>
    <row r="60" ht="15.75" customHeight="1">
      <c r="B60" s="47"/>
    </row>
    <row r="61" ht="15.75" customHeight="1">
      <c r="B61" s="47"/>
    </row>
    <row r="62" ht="15.75" customHeight="1">
      <c r="B62" s="47"/>
    </row>
    <row r="63" ht="15.75" customHeight="1">
      <c r="B63" s="47"/>
    </row>
    <row r="64" ht="15.75" customHeight="1">
      <c r="B64" s="47"/>
    </row>
    <row r="65" ht="15.75" customHeight="1">
      <c r="B65" s="47"/>
    </row>
    <row r="66" ht="15.75" customHeight="1">
      <c r="B66" s="47"/>
    </row>
    <row r="67" ht="15.75" customHeight="1">
      <c r="B67" s="47"/>
    </row>
    <row r="68" ht="15.75" customHeight="1">
      <c r="B68" s="47"/>
    </row>
    <row r="69" ht="15.75" customHeight="1">
      <c r="B69" s="47"/>
    </row>
    <row r="70" ht="15.75" customHeight="1">
      <c r="B70" s="47"/>
    </row>
    <row r="71" ht="15.75" customHeight="1">
      <c r="B71" s="47"/>
    </row>
    <row r="72" ht="15.75" customHeight="1">
      <c r="B72" s="47"/>
    </row>
    <row r="73" ht="15.75" customHeight="1">
      <c r="B73" s="47"/>
    </row>
    <row r="74" ht="15.75" customHeight="1">
      <c r="B74" s="47"/>
    </row>
    <row r="75" ht="15.75" customHeight="1">
      <c r="B75" s="47"/>
    </row>
    <row r="76" ht="15.75" customHeight="1">
      <c r="B76" s="47"/>
    </row>
    <row r="77" ht="15.75" customHeight="1">
      <c r="B77" s="47"/>
    </row>
    <row r="78" ht="15.75" customHeight="1">
      <c r="B78" s="47"/>
    </row>
    <row r="79" ht="15.75" customHeight="1">
      <c r="B79" s="47"/>
    </row>
    <row r="80" ht="15.75" customHeight="1">
      <c r="B80" s="47"/>
    </row>
    <row r="81" ht="15.75" customHeight="1">
      <c r="B81" s="47"/>
    </row>
    <row r="82" ht="15.75" customHeight="1">
      <c r="B82" s="47"/>
    </row>
    <row r="83" ht="15.75" customHeight="1">
      <c r="B83" s="47"/>
    </row>
    <row r="84" ht="15.75" customHeight="1">
      <c r="B84" s="47"/>
    </row>
    <row r="85" ht="15.75" customHeight="1">
      <c r="B85" s="47"/>
    </row>
    <row r="86" ht="15.75" customHeight="1">
      <c r="B86" s="47"/>
    </row>
    <row r="87" ht="15.75" customHeight="1">
      <c r="B87" s="47"/>
    </row>
    <row r="88" ht="15.75" customHeight="1">
      <c r="B88" s="47"/>
    </row>
    <row r="89" ht="15.75" customHeight="1">
      <c r="B89" s="47"/>
    </row>
    <row r="90" ht="15.75" customHeight="1">
      <c r="B90" s="47"/>
    </row>
    <row r="91" ht="15.75" customHeight="1">
      <c r="B91" s="47"/>
    </row>
    <row r="92" ht="15.75" customHeight="1">
      <c r="B92" s="47"/>
    </row>
    <row r="93" ht="15.75" customHeight="1">
      <c r="B93" s="47"/>
    </row>
    <row r="94" ht="15.75" customHeight="1">
      <c r="B94" s="47"/>
    </row>
    <row r="95" ht="15.75" customHeight="1">
      <c r="B95" s="47"/>
    </row>
    <row r="96" ht="15.75" customHeight="1">
      <c r="B96" s="47"/>
    </row>
    <row r="97" ht="15.75" customHeight="1">
      <c r="B97" s="47"/>
    </row>
    <row r="98" ht="15.75" customHeight="1">
      <c r="B98" s="47"/>
    </row>
    <row r="99" ht="15.75" customHeight="1">
      <c r="B99" s="47"/>
    </row>
    <row r="100" ht="15.75" customHeight="1">
      <c r="B100" s="47"/>
    </row>
    <row r="101" ht="15.75" customHeight="1">
      <c r="B101" s="47"/>
    </row>
    <row r="102" ht="15.75" customHeight="1">
      <c r="B102" s="47"/>
    </row>
    <row r="103" ht="15.75" customHeight="1">
      <c r="B103" s="47"/>
    </row>
    <row r="104" ht="15.75" customHeight="1">
      <c r="B104" s="47"/>
    </row>
    <row r="105" ht="15.75" customHeight="1">
      <c r="B105" s="47"/>
    </row>
    <row r="106" ht="15.75" customHeight="1">
      <c r="B106" s="47"/>
    </row>
    <row r="107" ht="15.75" customHeight="1">
      <c r="B107" s="47"/>
    </row>
    <row r="108" ht="15.75" customHeight="1">
      <c r="B108" s="47"/>
    </row>
    <row r="109" ht="15.75" customHeight="1">
      <c r="B109" s="47"/>
    </row>
    <row r="110" ht="15.75" customHeight="1">
      <c r="B110" s="47"/>
    </row>
    <row r="111" ht="15.75" customHeight="1">
      <c r="B111" s="47"/>
    </row>
    <row r="112" ht="15.75" customHeight="1">
      <c r="B112" s="47"/>
    </row>
    <row r="113" ht="15.75" customHeight="1">
      <c r="B113" s="47"/>
    </row>
    <row r="114" ht="15.75" customHeight="1">
      <c r="B114" s="47"/>
    </row>
    <row r="115" ht="15.75" customHeight="1">
      <c r="B115" s="47"/>
    </row>
    <row r="116" ht="15.75" customHeight="1">
      <c r="B116" s="47"/>
    </row>
    <row r="117" ht="15.75" customHeight="1">
      <c r="B117" s="47"/>
    </row>
    <row r="118" ht="15.75" customHeight="1">
      <c r="B118" s="47"/>
    </row>
    <row r="119" ht="15.75" customHeight="1">
      <c r="B119" s="47"/>
    </row>
    <row r="120" ht="15.75" customHeight="1">
      <c r="B120" s="47"/>
    </row>
    <row r="121" ht="15.75" customHeight="1">
      <c r="B121" s="47"/>
    </row>
    <row r="122" ht="15.75" customHeight="1">
      <c r="B122" s="47"/>
    </row>
    <row r="123" ht="15.75" customHeight="1">
      <c r="B123" s="47"/>
    </row>
    <row r="124" ht="15.75" customHeight="1">
      <c r="B124" s="47"/>
    </row>
    <row r="125" ht="15.75" customHeight="1">
      <c r="B125" s="47"/>
    </row>
    <row r="126" ht="15.75" customHeight="1">
      <c r="B126" s="47"/>
    </row>
    <row r="127" ht="15.75" customHeight="1">
      <c r="B127" s="47"/>
    </row>
    <row r="128" ht="15.75" customHeight="1">
      <c r="B128" s="47"/>
    </row>
    <row r="129" ht="15.75" customHeight="1">
      <c r="B129" s="47"/>
    </row>
    <row r="130" ht="15.75" customHeight="1">
      <c r="B130" s="47"/>
    </row>
    <row r="131" ht="15.75" customHeight="1">
      <c r="B131" s="47"/>
    </row>
    <row r="132" ht="15.75" customHeight="1">
      <c r="B132" s="47"/>
    </row>
    <row r="133" ht="15.75" customHeight="1">
      <c r="B133" s="47"/>
    </row>
    <row r="134" ht="15.75" customHeight="1">
      <c r="B134" s="47"/>
    </row>
    <row r="135" ht="15.75" customHeight="1">
      <c r="B135" s="47"/>
    </row>
    <row r="136" ht="15.75" customHeight="1">
      <c r="B136" s="47"/>
    </row>
    <row r="137" ht="15.75" customHeight="1">
      <c r="B137" s="47"/>
    </row>
    <row r="138" ht="15.75" customHeight="1">
      <c r="B138" s="47"/>
    </row>
    <row r="139" ht="15.75" customHeight="1">
      <c r="B139" s="47"/>
    </row>
    <row r="140" ht="15.75" customHeight="1">
      <c r="B140" s="47"/>
    </row>
    <row r="141" ht="15.75" customHeight="1">
      <c r="B141" s="47"/>
    </row>
    <row r="142" ht="15.75" customHeight="1">
      <c r="B142" s="47"/>
    </row>
    <row r="143" ht="15.75" customHeight="1">
      <c r="B143" s="47"/>
    </row>
    <row r="144" ht="15.75" customHeight="1">
      <c r="B144" s="47"/>
    </row>
    <row r="145" ht="15.75" customHeight="1">
      <c r="B145" s="47"/>
    </row>
    <row r="146" ht="15.75" customHeight="1">
      <c r="B146" s="47"/>
    </row>
    <row r="147" ht="15.75" customHeight="1">
      <c r="B147" s="47"/>
    </row>
    <row r="148" ht="15.75" customHeight="1">
      <c r="B148" s="47"/>
    </row>
    <row r="149" ht="15.75" customHeight="1">
      <c r="B149" s="47"/>
    </row>
    <row r="150" ht="15.75" customHeight="1">
      <c r="B150" s="47"/>
    </row>
    <row r="151" ht="15.75" customHeight="1">
      <c r="B151" s="47"/>
    </row>
    <row r="152" ht="15.75" customHeight="1">
      <c r="B152" s="47"/>
    </row>
    <row r="153" ht="15.75" customHeight="1">
      <c r="B153" s="47"/>
    </row>
    <row r="154" ht="15.75" customHeight="1">
      <c r="B154" s="47"/>
    </row>
    <row r="155" ht="15.75" customHeight="1">
      <c r="B155" s="47"/>
    </row>
    <row r="156" ht="15.75" customHeight="1">
      <c r="B156" s="47"/>
    </row>
    <row r="157" ht="15.75" customHeight="1">
      <c r="B157" s="47"/>
    </row>
    <row r="158" ht="15.75" customHeight="1">
      <c r="B158" s="47"/>
    </row>
    <row r="159" ht="15.75" customHeight="1">
      <c r="B159" s="47"/>
    </row>
    <row r="160" ht="15.75" customHeight="1">
      <c r="B160" s="47"/>
    </row>
    <row r="161" ht="15.75" customHeight="1">
      <c r="B161" s="47"/>
    </row>
    <row r="162" ht="15.75" customHeight="1">
      <c r="B162" s="47"/>
    </row>
    <row r="163" ht="15.75" customHeight="1">
      <c r="B163" s="47"/>
    </row>
    <row r="164" ht="15.75" customHeight="1">
      <c r="B164" s="47"/>
    </row>
    <row r="165" ht="15.75" customHeight="1">
      <c r="B165" s="47"/>
    </row>
    <row r="166" ht="15.75" customHeight="1">
      <c r="B166" s="47"/>
    </row>
    <row r="167" ht="15.75" customHeight="1">
      <c r="B167" s="47"/>
    </row>
    <row r="168" ht="15.75" customHeight="1">
      <c r="B168" s="47"/>
    </row>
    <row r="169" ht="15.75" customHeight="1">
      <c r="B169" s="47"/>
    </row>
    <row r="170" ht="15.75" customHeight="1">
      <c r="B170" s="47"/>
    </row>
    <row r="171" ht="15.75" customHeight="1">
      <c r="B171" s="47"/>
    </row>
    <row r="172" ht="15.75" customHeight="1">
      <c r="B172" s="47"/>
    </row>
    <row r="173" ht="15.75" customHeight="1">
      <c r="B173" s="47"/>
    </row>
    <row r="174" ht="15.75" customHeight="1">
      <c r="B174" s="47"/>
    </row>
    <row r="175" ht="15.75" customHeight="1">
      <c r="B175" s="47"/>
    </row>
    <row r="176" ht="15.75" customHeight="1">
      <c r="B176" s="47"/>
    </row>
    <row r="177" ht="15.75" customHeight="1">
      <c r="B177" s="47"/>
    </row>
    <row r="178" ht="15.75" customHeight="1">
      <c r="B178" s="47"/>
    </row>
    <row r="179" ht="15.75" customHeight="1">
      <c r="B179" s="47"/>
    </row>
    <row r="180" ht="15.75" customHeight="1">
      <c r="B180" s="47"/>
    </row>
    <row r="181" ht="15.75" customHeight="1">
      <c r="B181" s="47"/>
    </row>
    <row r="182" ht="15.75" customHeight="1">
      <c r="B182" s="47"/>
    </row>
    <row r="183" ht="15.75" customHeight="1">
      <c r="B183" s="47"/>
    </row>
    <row r="184" ht="15.75" customHeight="1">
      <c r="B184" s="47"/>
    </row>
    <row r="185" ht="15.75" customHeight="1">
      <c r="B185" s="47"/>
    </row>
    <row r="186" ht="15.75" customHeight="1">
      <c r="B186" s="47"/>
    </row>
    <row r="187" ht="15.75" customHeight="1">
      <c r="B187" s="47"/>
    </row>
    <row r="188" ht="15.75" customHeight="1">
      <c r="B188" s="47"/>
    </row>
    <row r="189" ht="15.75" customHeight="1">
      <c r="B189" s="47"/>
    </row>
    <row r="190" ht="15.75" customHeight="1">
      <c r="B190" s="47"/>
    </row>
    <row r="191" ht="15.75" customHeight="1">
      <c r="B191" s="47"/>
    </row>
    <row r="192" ht="15.75" customHeight="1">
      <c r="B192" s="47"/>
    </row>
    <row r="193" ht="15.75" customHeight="1">
      <c r="B193" s="47"/>
    </row>
    <row r="194" ht="15.75" customHeight="1">
      <c r="B194" s="47"/>
    </row>
    <row r="195" ht="15.75" customHeight="1">
      <c r="B195" s="47"/>
    </row>
    <row r="196" ht="15.75" customHeight="1">
      <c r="B196" s="47"/>
    </row>
    <row r="197" ht="15.75" customHeight="1">
      <c r="B197" s="47"/>
    </row>
    <row r="198" ht="15.75" customHeight="1">
      <c r="B198" s="47"/>
    </row>
    <row r="199" ht="15.75" customHeight="1">
      <c r="B199" s="47"/>
    </row>
    <row r="200" ht="15.75" customHeight="1">
      <c r="B200" s="47"/>
    </row>
    <row r="201" ht="15.75" customHeight="1">
      <c r="B201" s="47"/>
    </row>
    <row r="202" ht="15.75" customHeight="1">
      <c r="B202" s="47"/>
    </row>
    <row r="203" ht="15.75" customHeight="1">
      <c r="B203" s="47"/>
    </row>
    <row r="204" ht="15.75" customHeight="1">
      <c r="B204" s="47"/>
    </row>
    <row r="205" ht="15.75" customHeight="1">
      <c r="B205" s="47"/>
    </row>
    <row r="206" ht="15.75" customHeight="1">
      <c r="B206" s="47"/>
    </row>
    <row r="207" ht="15.75" customHeight="1">
      <c r="B207" s="47"/>
    </row>
    <row r="208" ht="15.75" customHeight="1">
      <c r="B208" s="47"/>
    </row>
    <row r="209" ht="15.75" customHeight="1">
      <c r="B209" s="47"/>
    </row>
    <row r="210" ht="15.75" customHeight="1">
      <c r="B210" s="47"/>
    </row>
    <row r="211" ht="15.75" customHeight="1">
      <c r="B211" s="47"/>
    </row>
    <row r="212" ht="15.75" customHeight="1">
      <c r="B212" s="47"/>
    </row>
    <row r="213" ht="15.75" customHeight="1">
      <c r="B213" s="47"/>
    </row>
    <row r="214" ht="15.75" customHeight="1">
      <c r="B214" s="47"/>
    </row>
    <row r="215" ht="15.75" customHeight="1">
      <c r="B215" s="47"/>
    </row>
    <row r="216" ht="15.75" customHeight="1">
      <c r="B216" s="47"/>
    </row>
    <row r="217" ht="15.75" customHeight="1">
      <c r="B217" s="47"/>
    </row>
    <row r="218" ht="15.75" customHeight="1">
      <c r="B218" s="47"/>
    </row>
    <row r="219" ht="15.75" customHeight="1">
      <c r="B219" s="47"/>
    </row>
    <row r="220" ht="15.75" customHeight="1">
      <c r="B220" s="47"/>
    </row>
    <row r="221" ht="15.75" customHeight="1">
      <c r="B221" s="47"/>
    </row>
    <row r="222" ht="15.75" customHeight="1">
      <c r="B222" s="47"/>
    </row>
    <row r="223" ht="15.75" customHeight="1">
      <c r="B223" s="47"/>
    </row>
    <row r="224" ht="15.75" customHeight="1">
      <c r="B224" s="47"/>
    </row>
    <row r="225" ht="15.75" customHeight="1">
      <c r="B225" s="47"/>
    </row>
    <row r="226" ht="15.75" customHeight="1">
      <c r="B226" s="47"/>
    </row>
    <row r="227" ht="15.75" customHeight="1">
      <c r="B227" s="47"/>
    </row>
    <row r="228" ht="15.75" customHeight="1">
      <c r="B228" s="47"/>
    </row>
    <row r="229" ht="15.75" customHeight="1">
      <c r="B229" s="47"/>
    </row>
    <row r="230" ht="15.75" customHeight="1">
      <c r="B230" s="47"/>
    </row>
    <row r="231" ht="15.75" customHeight="1">
      <c r="B231" s="47"/>
    </row>
    <row r="232" ht="15.75" customHeight="1">
      <c r="B232" s="47"/>
    </row>
    <row r="233" ht="15.75" customHeight="1">
      <c r="B233" s="47"/>
    </row>
    <row r="234" ht="15.75" customHeight="1">
      <c r="B234" s="47"/>
    </row>
    <row r="235" ht="15.75" customHeight="1">
      <c r="B235" s="47"/>
    </row>
    <row r="236" ht="15.75" customHeight="1">
      <c r="B236" s="47"/>
    </row>
    <row r="237" ht="15.75" customHeight="1">
      <c r="B237" s="47"/>
    </row>
    <row r="238" ht="15.75" customHeight="1">
      <c r="B238" s="47"/>
    </row>
    <row r="239" ht="15.75" customHeight="1">
      <c r="B239" s="47"/>
    </row>
    <row r="240" ht="15.75" customHeight="1">
      <c r="B240" s="47"/>
    </row>
    <row r="241" ht="15.75" customHeight="1">
      <c r="B241" s="47"/>
    </row>
    <row r="242" ht="15.75" customHeight="1">
      <c r="B242" s="47"/>
    </row>
    <row r="243" ht="15.75" customHeight="1">
      <c r="B243" s="47"/>
    </row>
    <row r="244" ht="15.75" customHeight="1">
      <c r="B244" s="47"/>
    </row>
    <row r="245" ht="15.75" customHeight="1">
      <c r="B245" s="47"/>
    </row>
    <row r="246" ht="15.75" customHeight="1">
      <c r="B246" s="47"/>
    </row>
    <row r="247" ht="15.75" customHeight="1">
      <c r="B247" s="47"/>
    </row>
    <row r="248" ht="15.75" customHeight="1">
      <c r="B248" s="47"/>
    </row>
    <row r="249" ht="15.75" customHeight="1">
      <c r="B249" s="47"/>
    </row>
    <row r="250" ht="15.75" customHeight="1">
      <c r="B250" s="47"/>
    </row>
    <row r="251" ht="15.75" customHeight="1">
      <c r="B251" s="47"/>
    </row>
    <row r="252" ht="15.75" customHeight="1">
      <c r="B252" s="47"/>
    </row>
    <row r="253" ht="15.75" customHeight="1">
      <c r="B253" s="47"/>
    </row>
    <row r="254" ht="15.75" customHeight="1">
      <c r="B254" s="47"/>
    </row>
    <row r="255" ht="15.75" customHeight="1">
      <c r="B255" s="47"/>
    </row>
    <row r="256" ht="15.75" customHeight="1">
      <c r="B256" s="47"/>
    </row>
    <row r="257" ht="15.75" customHeight="1">
      <c r="B257" s="47"/>
    </row>
    <row r="258" ht="15.75" customHeight="1">
      <c r="B258" s="47"/>
    </row>
    <row r="259" ht="15.75" customHeight="1">
      <c r="B259" s="47"/>
    </row>
    <row r="260" ht="15.75" customHeight="1">
      <c r="B260" s="47"/>
    </row>
    <row r="261" ht="15.75" customHeight="1">
      <c r="B261" s="47"/>
    </row>
    <row r="262" ht="15.75" customHeight="1">
      <c r="B262" s="47"/>
    </row>
    <row r="263" ht="15.75" customHeight="1">
      <c r="B263" s="47"/>
    </row>
    <row r="264" ht="15.75" customHeight="1">
      <c r="B264" s="47"/>
    </row>
    <row r="265" ht="15.75" customHeight="1">
      <c r="B265" s="47"/>
    </row>
    <row r="266" ht="15.75" customHeight="1">
      <c r="B266" s="47"/>
    </row>
    <row r="267" ht="15.75" customHeight="1">
      <c r="B267" s="47"/>
    </row>
    <row r="268" ht="15.75" customHeight="1">
      <c r="B268" s="47"/>
    </row>
    <row r="269" ht="15.75" customHeight="1">
      <c r="B269" s="47"/>
    </row>
    <row r="270" ht="15.75" customHeight="1">
      <c r="B270" s="47"/>
    </row>
    <row r="271" ht="15.75" customHeight="1">
      <c r="B271" s="47"/>
    </row>
    <row r="272" ht="15.75" customHeight="1">
      <c r="B272" s="47"/>
    </row>
    <row r="273" ht="15.75" customHeight="1">
      <c r="B273" s="47"/>
    </row>
    <row r="274" ht="15.75" customHeight="1">
      <c r="B274" s="47"/>
    </row>
    <row r="275" ht="15.75" customHeight="1">
      <c r="B275" s="47"/>
    </row>
    <row r="276" ht="15.75" customHeight="1">
      <c r="B276" s="47"/>
    </row>
    <row r="277" ht="15.75" customHeight="1">
      <c r="B277" s="47"/>
    </row>
    <row r="278" ht="15.75" customHeight="1">
      <c r="B278" s="47"/>
    </row>
    <row r="279" ht="15.75" customHeight="1">
      <c r="B279" s="47"/>
    </row>
    <row r="280" ht="15.75" customHeight="1">
      <c r="B280" s="47"/>
    </row>
    <row r="281" ht="15.75" customHeight="1">
      <c r="B281" s="47"/>
    </row>
    <row r="282" ht="15.75" customHeight="1">
      <c r="B282" s="47"/>
    </row>
    <row r="283" ht="15.75" customHeight="1">
      <c r="B283" s="47"/>
    </row>
    <row r="284" ht="15.75" customHeight="1">
      <c r="B284" s="47"/>
    </row>
    <row r="285" ht="15.75" customHeight="1">
      <c r="B285" s="47"/>
    </row>
    <row r="286" ht="15.75" customHeight="1">
      <c r="B286" s="47"/>
    </row>
    <row r="287" ht="15.75" customHeight="1">
      <c r="B287" s="47"/>
    </row>
    <row r="288" ht="15.75" customHeight="1">
      <c r="B288" s="47"/>
    </row>
    <row r="289" ht="15.75" customHeight="1">
      <c r="B289" s="47"/>
    </row>
    <row r="290" ht="15.75" customHeight="1">
      <c r="B290" s="47"/>
    </row>
    <row r="291" ht="15.75" customHeight="1">
      <c r="B291" s="47"/>
    </row>
    <row r="292" ht="15.75" customHeight="1">
      <c r="B292" s="47"/>
    </row>
    <row r="293" ht="15.75" customHeight="1">
      <c r="B293" s="47"/>
    </row>
    <row r="294" ht="15.75" customHeight="1">
      <c r="B294" s="47"/>
    </row>
    <row r="295" ht="15.75" customHeight="1">
      <c r="B295" s="47"/>
    </row>
    <row r="296" ht="15.75" customHeight="1">
      <c r="B296" s="47"/>
    </row>
    <row r="297" ht="15.75" customHeight="1">
      <c r="B297" s="47"/>
    </row>
    <row r="298" ht="15.75" customHeight="1">
      <c r="B298" s="47"/>
    </row>
    <row r="299" ht="15.75" customHeight="1">
      <c r="B299" s="47"/>
    </row>
    <row r="300" ht="15.75" customHeight="1">
      <c r="B300" s="47"/>
    </row>
    <row r="301" ht="15.75" customHeight="1">
      <c r="B301" s="47"/>
    </row>
    <row r="302" ht="15.75" customHeight="1">
      <c r="B302" s="47"/>
    </row>
    <row r="303" ht="15.75" customHeight="1">
      <c r="B303" s="47"/>
    </row>
    <row r="304" ht="15.75" customHeight="1">
      <c r="B304" s="47"/>
    </row>
    <row r="305" ht="15.75" customHeight="1">
      <c r="B305" s="47"/>
    </row>
    <row r="306" ht="15.75" customHeight="1">
      <c r="B306" s="47"/>
    </row>
    <row r="307" ht="15.75" customHeight="1">
      <c r="B307" s="47"/>
    </row>
    <row r="308" ht="15.75" customHeight="1">
      <c r="B308" s="47"/>
    </row>
    <row r="309" ht="15.75" customHeight="1">
      <c r="B309" s="47"/>
    </row>
    <row r="310" ht="15.75" customHeight="1">
      <c r="B310" s="47"/>
    </row>
    <row r="311" ht="15.75" customHeight="1">
      <c r="B311" s="47"/>
    </row>
    <row r="312" ht="15.75" customHeight="1">
      <c r="B312" s="47"/>
    </row>
    <row r="313" ht="15.75" customHeight="1">
      <c r="B313" s="47"/>
    </row>
    <row r="314" ht="15.75" customHeight="1">
      <c r="B314" s="47"/>
    </row>
    <row r="315" ht="15.75" customHeight="1">
      <c r="B315" s="47"/>
    </row>
    <row r="316" ht="15.75" customHeight="1">
      <c r="B316" s="47"/>
    </row>
    <row r="317" ht="15.75" customHeight="1">
      <c r="B317" s="47"/>
    </row>
    <row r="318" ht="15.75" customHeight="1">
      <c r="B318" s="47"/>
    </row>
    <row r="319" ht="15.75" customHeight="1">
      <c r="B319" s="47"/>
    </row>
    <row r="320" ht="15.75" customHeight="1">
      <c r="B320" s="47"/>
    </row>
    <row r="321" ht="15.75" customHeight="1">
      <c r="B321" s="47"/>
    </row>
    <row r="322" ht="15.75" customHeight="1">
      <c r="B322" s="47"/>
    </row>
    <row r="323" ht="15.75" customHeight="1">
      <c r="B323" s="47"/>
    </row>
    <row r="324" ht="15.75" customHeight="1">
      <c r="B324" s="47"/>
    </row>
    <row r="325" ht="15.75" customHeight="1">
      <c r="B325" s="47"/>
    </row>
    <row r="326" ht="15.75" customHeight="1">
      <c r="B326" s="47"/>
    </row>
    <row r="327" ht="15.75" customHeight="1">
      <c r="B327" s="47"/>
    </row>
    <row r="328" ht="15.75" customHeight="1">
      <c r="B328" s="47"/>
    </row>
    <row r="329" ht="15.75" customHeight="1">
      <c r="B329" s="47"/>
    </row>
    <row r="330" ht="15.75" customHeight="1">
      <c r="B330" s="47"/>
    </row>
    <row r="331" ht="15.75" customHeight="1">
      <c r="B331" s="47"/>
    </row>
    <row r="332" ht="15.75" customHeight="1">
      <c r="B332" s="47"/>
    </row>
    <row r="333" ht="15.75" customHeight="1">
      <c r="B333" s="47"/>
    </row>
    <row r="334" ht="15.75" customHeight="1">
      <c r="B334" s="47"/>
    </row>
    <row r="335" ht="15.75" customHeight="1">
      <c r="B335" s="47"/>
    </row>
    <row r="336" ht="15.75" customHeight="1">
      <c r="B336" s="47"/>
    </row>
    <row r="337" ht="15.75" customHeight="1">
      <c r="B337" s="47"/>
    </row>
    <row r="338" ht="15.75" customHeight="1">
      <c r="B338" s="47"/>
    </row>
    <row r="339" ht="15.75" customHeight="1">
      <c r="B339" s="47"/>
    </row>
    <row r="340" ht="15.75" customHeight="1">
      <c r="B340" s="47"/>
    </row>
    <row r="341" ht="15.75" customHeight="1">
      <c r="B341" s="47"/>
    </row>
    <row r="342" ht="15.75" customHeight="1">
      <c r="B342" s="47"/>
    </row>
    <row r="343" ht="15.75" customHeight="1">
      <c r="B343" s="47"/>
    </row>
    <row r="344" ht="15.75" customHeight="1">
      <c r="B344" s="47"/>
    </row>
    <row r="345" ht="15.75" customHeight="1">
      <c r="B345" s="47"/>
    </row>
    <row r="346" ht="15.75" customHeight="1">
      <c r="B346" s="47"/>
    </row>
    <row r="347" ht="15.75" customHeight="1">
      <c r="B347" s="47"/>
    </row>
    <row r="348" ht="15.75" customHeight="1">
      <c r="B348" s="47"/>
    </row>
    <row r="349" ht="15.75" customHeight="1">
      <c r="B349" s="47"/>
    </row>
    <row r="350" ht="15.75" customHeight="1">
      <c r="B350" s="47"/>
    </row>
    <row r="351" ht="15.75" customHeight="1">
      <c r="B351" s="47"/>
    </row>
    <row r="352" ht="15.75" customHeight="1">
      <c r="B352" s="47"/>
    </row>
    <row r="353" ht="15.75" customHeight="1">
      <c r="B353" s="47"/>
    </row>
    <row r="354" ht="15.75" customHeight="1">
      <c r="B354" s="47"/>
    </row>
    <row r="355" ht="15.75" customHeight="1">
      <c r="B355" s="47"/>
    </row>
    <row r="356" ht="15.75" customHeight="1">
      <c r="B356" s="47"/>
    </row>
    <row r="357" ht="15.75" customHeight="1">
      <c r="B357" s="47"/>
    </row>
    <row r="358" ht="15.75" customHeight="1">
      <c r="B358" s="47"/>
    </row>
    <row r="359" ht="15.75" customHeight="1">
      <c r="B359" s="47"/>
    </row>
    <row r="360" ht="15.75" customHeight="1">
      <c r="B360" s="47"/>
    </row>
    <row r="361" ht="15.75" customHeight="1">
      <c r="B361" s="47"/>
    </row>
    <row r="362" ht="15.75" customHeight="1">
      <c r="B362" s="47"/>
    </row>
    <row r="363" ht="15.75" customHeight="1">
      <c r="B363" s="47"/>
    </row>
    <row r="364" ht="15.75" customHeight="1">
      <c r="B364" s="47"/>
    </row>
    <row r="365" ht="15.75" customHeight="1">
      <c r="B365" s="47"/>
    </row>
    <row r="366" ht="15.75" customHeight="1">
      <c r="B366" s="47"/>
    </row>
    <row r="367" ht="15.75" customHeight="1">
      <c r="B367" s="47"/>
    </row>
    <row r="368" ht="15.75" customHeight="1">
      <c r="B368" s="47"/>
    </row>
    <row r="369" ht="15.75" customHeight="1">
      <c r="B369" s="47"/>
    </row>
    <row r="370" ht="15.75" customHeight="1">
      <c r="B370" s="47"/>
    </row>
    <row r="371" ht="15.75" customHeight="1">
      <c r="B371" s="47"/>
    </row>
    <row r="372" ht="15.75" customHeight="1">
      <c r="B372" s="47"/>
    </row>
    <row r="373" ht="15.75" customHeight="1">
      <c r="B373" s="47"/>
    </row>
    <row r="374" ht="15.75" customHeight="1">
      <c r="B374" s="47"/>
    </row>
    <row r="375" ht="15.75" customHeight="1">
      <c r="B375" s="47"/>
    </row>
    <row r="376" ht="15.75" customHeight="1">
      <c r="B376" s="47"/>
    </row>
    <row r="377" ht="15.75" customHeight="1">
      <c r="B377" s="47"/>
    </row>
    <row r="378" ht="15.75" customHeight="1">
      <c r="B378" s="47"/>
    </row>
    <row r="379" ht="15.75" customHeight="1">
      <c r="B379" s="47"/>
    </row>
    <row r="380" ht="15.75" customHeight="1">
      <c r="B380" s="47"/>
    </row>
    <row r="381" ht="15.75" customHeight="1">
      <c r="B381" s="47"/>
    </row>
    <row r="382" ht="15.75" customHeight="1">
      <c r="B382" s="47"/>
    </row>
    <row r="383" ht="15.75" customHeight="1">
      <c r="B383" s="47"/>
    </row>
    <row r="384" ht="15.75" customHeight="1">
      <c r="B384" s="47"/>
    </row>
    <row r="385" ht="15.75" customHeight="1">
      <c r="B385" s="47"/>
    </row>
    <row r="386" ht="15.75" customHeight="1">
      <c r="B386" s="47"/>
    </row>
    <row r="387" ht="15.75" customHeight="1">
      <c r="B387" s="47"/>
    </row>
    <row r="388" ht="15.75" customHeight="1">
      <c r="B388" s="47"/>
    </row>
    <row r="389" ht="15.75" customHeight="1">
      <c r="B389" s="47"/>
    </row>
    <row r="390" ht="15.75" customHeight="1">
      <c r="B390" s="47"/>
    </row>
    <row r="391" ht="15.75" customHeight="1">
      <c r="B391" s="47"/>
    </row>
    <row r="392" ht="15.75" customHeight="1">
      <c r="B392" s="47"/>
    </row>
    <row r="393" ht="15.75" customHeight="1">
      <c r="B393" s="47"/>
    </row>
    <row r="394" ht="15.75" customHeight="1">
      <c r="B394" s="47"/>
    </row>
    <row r="395" ht="15.75" customHeight="1">
      <c r="B395" s="47"/>
    </row>
    <row r="396" ht="15.75" customHeight="1">
      <c r="B396" s="47"/>
    </row>
    <row r="397" ht="15.75" customHeight="1">
      <c r="B397" s="47"/>
    </row>
    <row r="398" ht="15.75" customHeight="1">
      <c r="B398" s="47"/>
    </row>
    <row r="399" ht="15.75" customHeight="1">
      <c r="B399" s="47"/>
    </row>
    <row r="400" ht="15.75" customHeight="1">
      <c r="B400" s="47"/>
    </row>
    <row r="401" ht="15.75" customHeight="1">
      <c r="B401" s="47"/>
    </row>
    <row r="402" ht="15.75" customHeight="1">
      <c r="B402" s="47"/>
    </row>
    <row r="403" ht="15.75" customHeight="1">
      <c r="B403" s="47"/>
    </row>
    <row r="404" ht="15.75" customHeight="1">
      <c r="B404" s="47"/>
    </row>
    <row r="405" ht="15.75" customHeight="1">
      <c r="B405" s="47"/>
    </row>
    <row r="406" ht="15.75" customHeight="1">
      <c r="B406" s="47"/>
    </row>
    <row r="407" ht="15.75" customHeight="1">
      <c r="B407" s="47"/>
    </row>
    <row r="408" ht="15.75" customHeight="1">
      <c r="B408" s="47"/>
    </row>
    <row r="409" ht="15.75" customHeight="1">
      <c r="B409" s="47"/>
    </row>
    <row r="410" ht="15.75" customHeight="1">
      <c r="B410" s="47"/>
    </row>
    <row r="411" ht="15.75" customHeight="1">
      <c r="B411" s="47"/>
    </row>
    <row r="412" ht="15.75" customHeight="1">
      <c r="B412" s="47"/>
    </row>
    <row r="413" ht="15.75" customHeight="1">
      <c r="B413" s="47"/>
    </row>
    <row r="414" ht="15.75" customHeight="1">
      <c r="B414" s="47"/>
    </row>
    <row r="415" ht="15.75" customHeight="1">
      <c r="B415" s="47"/>
    </row>
    <row r="416" ht="15.75" customHeight="1">
      <c r="B416" s="47"/>
    </row>
    <row r="417" ht="15.75" customHeight="1">
      <c r="B417" s="47"/>
    </row>
    <row r="418" ht="15.75" customHeight="1">
      <c r="B418" s="47"/>
    </row>
    <row r="419" ht="15.75" customHeight="1">
      <c r="B419" s="47"/>
    </row>
    <row r="420" ht="15.75" customHeight="1">
      <c r="B420" s="47"/>
    </row>
    <row r="421" ht="15.75" customHeight="1">
      <c r="B421" s="47"/>
    </row>
    <row r="422" ht="15.75" customHeight="1">
      <c r="B422" s="47"/>
    </row>
    <row r="423" ht="15.75" customHeight="1">
      <c r="B423" s="47"/>
    </row>
    <row r="424" ht="15.75" customHeight="1">
      <c r="B424" s="47"/>
    </row>
    <row r="425" ht="15.75" customHeight="1">
      <c r="B425" s="47"/>
    </row>
    <row r="426" ht="15.75" customHeight="1">
      <c r="B426" s="47"/>
    </row>
    <row r="427" ht="15.75" customHeight="1">
      <c r="B427" s="47"/>
    </row>
    <row r="428" ht="15.75" customHeight="1">
      <c r="B428" s="47"/>
    </row>
    <row r="429" ht="15.75" customHeight="1">
      <c r="B429" s="47"/>
    </row>
    <row r="430" ht="15.75" customHeight="1">
      <c r="B430" s="47"/>
    </row>
    <row r="431" ht="15.75" customHeight="1">
      <c r="B431" s="47"/>
    </row>
    <row r="432" ht="15.75" customHeight="1">
      <c r="B432" s="47"/>
    </row>
    <row r="433" ht="15.75" customHeight="1">
      <c r="B433" s="47"/>
    </row>
    <row r="434" ht="15.75" customHeight="1">
      <c r="B434" s="47"/>
    </row>
    <row r="435" ht="15.75" customHeight="1">
      <c r="B435" s="47"/>
    </row>
    <row r="436" ht="15.75" customHeight="1">
      <c r="B436" s="47"/>
    </row>
    <row r="437" ht="15.75" customHeight="1">
      <c r="B437" s="47"/>
    </row>
    <row r="438" ht="15.75" customHeight="1">
      <c r="B438" s="47"/>
    </row>
    <row r="439" ht="15.75" customHeight="1">
      <c r="B439" s="47"/>
    </row>
    <row r="440" ht="15.75" customHeight="1">
      <c r="B440" s="47"/>
    </row>
    <row r="441" ht="15.75" customHeight="1">
      <c r="B441" s="47"/>
    </row>
    <row r="442" ht="15.75" customHeight="1">
      <c r="B442" s="47"/>
    </row>
    <row r="443" ht="15.75" customHeight="1">
      <c r="B443" s="47"/>
    </row>
    <row r="444" ht="15.75" customHeight="1">
      <c r="B444" s="47"/>
    </row>
    <row r="445" ht="15.75" customHeight="1">
      <c r="B445" s="47"/>
    </row>
    <row r="446" ht="15.75" customHeight="1">
      <c r="B446" s="47"/>
    </row>
    <row r="447" ht="15.75" customHeight="1">
      <c r="B447" s="47"/>
    </row>
    <row r="448" ht="15.75" customHeight="1">
      <c r="B448" s="47"/>
    </row>
    <row r="449" ht="15.75" customHeight="1">
      <c r="B449" s="47"/>
    </row>
    <row r="450" ht="15.75" customHeight="1">
      <c r="B450" s="47"/>
    </row>
    <row r="451" ht="15.75" customHeight="1">
      <c r="B451" s="47"/>
    </row>
    <row r="452" ht="15.75" customHeight="1">
      <c r="B452" s="47"/>
    </row>
    <row r="453" ht="15.75" customHeight="1">
      <c r="B453" s="47"/>
    </row>
    <row r="454" ht="15.75" customHeight="1">
      <c r="B454" s="47"/>
    </row>
    <row r="455" ht="15.75" customHeight="1">
      <c r="B455" s="47"/>
    </row>
    <row r="456" ht="15.75" customHeight="1">
      <c r="B456" s="47"/>
    </row>
    <row r="457" ht="15.75" customHeight="1">
      <c r="B457" s="47"/>
    </row>
    <row r="458" ht="15.75" customHeight="1">
      <c r="B458" s="47"/>
    </row>
    <row r="459" ht="15.75" customHeight="1">
      <c r="B459" s="47"/>
    </row>
    <row r="460" ht="15.75" customHeight="1">
      <c r="B460" s="47"/>
    </row>
    <row r="461" ht="15.75" customHeight="1">
      <c r="B461" s="47"/>
    </row>
    <row r="462" ht="15.75" customHeight="1">
      <c r="B462" s="47"/>
    </row>
    <row r="463" ht="15.75" customHeight="1">
      <c r="B463" s="47"/>
    </row>
    <row r="464" ht="15.75" customHeight="1">
      <c r="B464" s="47"/>
    </row>
    <row r="465" ht="15.75" customHeight="1">
      <c r="B465" s="47"/>
    </row>
    <row r="466" ht="15.75" customHeight="1">
      <c r="B466" s="47"/>
    </row>
    <row r="467" ht="15.75" customHeight="1">
      <c r="B467" s="47"/>
    </row>
    <row r="468" ht="15.75" customHeight="1">
      <c r="B468" s="47"/>
    </row>
    <row r="469" ht="15.75" customHeight="1">
      <c r="B469" s="47"/>
    </row>
    <row r="470" ht="15.75" customHeight="1">
      <c r="B470" s="47"/>
    </row>
    <row r="471" ht="15.75" customHeight="1">
      <c r="B471" s="47"/>
    </row>
    <row r="472" ht="15.75" customHeight="1">
      <c r="B472" s="47"/>
    </row>
    <row r="473" ht="15.75" customHeight="1">
      <c r="B473" s="47"/>
    </row>
    <row r="474" ht="15.75" customHeight="1">
      <c r="B474" s="47"/>
    </row>
    <row r="475" ht="15.75" customHeight="1">
      <c r="B475" s="47"/>
    </row>
    <row r="476" ht="15.75" customHeight="1">
      <c r="B476" s="47"/>
    </row>
    <row r="477" ht="15.75" customHeight="1">
      <c r="B477" s="47"/>
    </row>
    <row r="478" ht="15.75" customHeight="1">
      <c r="B478" s="47"/>
    </row>
    <row r="479" ht="15.75" customHeight="1">
      <c r="B479" s="47"/>
    </row>
    <row r="480" ht="15.75" customHeight="1">
      <c r="B480" s="47"/>
    </row>
    <row r="481" ht="15.75" customHeight="1">
      <c r="B481" s="47"/>
    </row>
    <row r="482" ht="15.75" customHeight="1">
      <c r="B482" s="47"/>
    </row>
    <row r="483" ht="15.75" customHeight="1">
      <c r="B483" s="47"/>
    </row>
    <row r="484" ht="15.75" customHeight="1">
      <c r="B484" s="47"/>
    </row>
    <row r="485" ht="15.75" customHeight="1">
      <c r="B485" s="47"/>
    </row>
    <row r="486" ht="15.75" customHeight="1">
      <c r="B486" s="47"/>
    </row>
    <row r="487" ht="15.75" customHeight="1">
      <c r="B487" s="47"/>
    </row>
    <row r="488" ht="15.75" customHeight="1">
      <c r="B488" s="47"/>
    </row>
    <row r="489" ht="15.75" customHeight="1">
      <c r="B489" s="47"/>
    </row>
    <row r="490" ht="15.75" customHeight="1">
      <c r="B490" s="47"/>
    </row>
    <row r="491" ht="15.75" customHeight="1">
      <c r="B491" s="47"/>
    </row>
    <row r="492" ht="15.75" customHeight="1">
      <c r="B492" s="47"/>
    </row>
    <row r="493" ht="15.75" customHeight="1">
      <c r="B493" s="47"/>
    </row>
    <row r="494" ht="15.75" customHeight="1">
      <c r="B494" s="47"/>
    </row>
    <row r="495" ht="15.75" customHeight="1">
      <c r="B495" s="47"/>
    </row>
    <row r="496" ht="15.75" customHeight="1">
      <c r="B496" s="47"/>
    </row>
    <row r="497" ht="15.75" customHeight="1">
      <c r="B497" s="47"/>
    </row>
    <row r="498" ht="15.75" customHeight="1">
      <c r="B498" s="47"/>
    </row>
    <row r="499" ht="15.75" customHeight="1">
      <c r="B499" s="47"/>
    </row>
    <row r="500" ht="15.75" customHeight="1">
      <c r="B500" s="47"/>
    </row>
    <row r="501" ht="15.75" customHeight="1">
      <c r="B501" s="47"/>
    </row>
    <row r="502" ht="15.75" customHeight="1">
      <c r="B502" s="47"/>
    </row>
    <row r="503" ht="15.75" customHeight="1">
      <c r="B503" s="47"/>
    </row>
    <row r="504" ht="15.75" customHeight="1">
      <c r="B504" s="47"/>
    </row>
    <row r="505" ht="15.75" customHeight="1">
      <c r="B505" s="47"/>
    </row>
    <row r="506" ht="15.75" customHeight="1">
      <c r="B506" s="47"/>
    </row>
    <row r="507" ht="15.75" customHeight="1">
      <c r="B507" s="47"/>
    </row>
    <row r="508" ht="15.75" customHeight="1">
      <c r="B508" s="47"/>
    </row>
    <row r="509" ht="15.75" customHeight="1">
      <c r="B509" s="47"/>
    </row>
    <row r="510" ht="15.75" customHeight="1">
      <c r="B510" s="47"/>
    </row>
    <row r="511" ht="15.75" customHeight="1">
      <c r="B511" s="47"/>
    </row>
    <row r="512" ht="15.75" customHeight="1">
      <c r="B512" s="47"/>
    </row>
    <row r="513" ht="15.75" customHeight="1">
      <c r="B513" s="47"/>
    </row>
    <row r="514" ht="15.75" customHeight="1">
      <c r="B514" s="47"/>
    </row>
    <row r="515" ht="15.75" customHeight="1">
      <c r="B515" s="47"/>
    </row>
    <row r="516" ht="15.75" customHeight="1">
      <c r="B516" s="47"/>
    </row>
    <row r="517" ht="15.75" customHeight="1">
      <c r="B517" s="47"/>
    </row>
    <row r="518" ht="15.75" customHeight="1">
      <c r="B518" s="47"/>
    </row>
    <row r="519" ht="15.75" customHeight="1">
      <c r="B519" s="47"/>
    </row>
    <row r="520" ht="15.75" customHeight="1">
      <c r="B520" s="47"/>
    </row>
    <row r="521" ht="15.75" customHeight="1">
      <c r="B521" s="47"/>
    </row>
    <row r="522" ht="15.75" customHeight="1">
      <c r="B522" s="47"/>
    </row>
    <row r="523" ht="15.75" customHeight="1">
      <c r="B523" s="47"/>
    </row>
    <row r="524" ht="15.75" customHeight="1">
      <c r="B524" s="47"/>
    </row>
    <row r="525" ht="15.75" customHeight="1">
      <c r="B525" s="47"/>
    </row>
    <row r="526" ht="15.75" customHeight="1">
      <c r="B526" s="47"/>
    </row>
    <row r="527" ht="15.75" customHeight="1">
      <c r="B527" s="47"/>
    </row>
    <row r="528" ht="15.75" customHeight="1">
      <c r="B528" s="47"/>
    </row>
    <row r="529" ht="15.75" customHeight="1">
      <c r="B529" s="47"/>
    </row>
    <row r="530" ht="15.75" customHeight="1">
      <c r="B530" s="47"/>
    </row>
    <row r="531" ht="15.75" customHeight="1">
      <c r="B531" s="47"/>
    </row>
    <row r="532" ht="15.75" customHeight="1">
      <c r="B532" s="47"/>
    </row>
    <row r="533" ht="15.75" customHeight="1">
      <c r="B533" s="47"/>
    </row>
    <row r="534" ht="15.75" customHeight="1">
      <c r="B534" s="47"/>
    </row>
    <row r="535" ht="15.75" customHeight="1">
      <c r="B535" s="47"/>
    </row>
    <row r="536" ht="15.75" customHeight="1">
      <c r="B536" s="47"/>
    </row>
    <row r="537" ht="15.75" customHeight="1">
      <c r="B537" s="47"/>
    </row>
    <row r="538" ht="15.75" customHeight="1">
      <c r="B538" s="47"/>
    </row>
    <row r="539" ht="15.75" customHeight="1">
      <c r="B539" s="47"/>
    </row>
    <row r="540" ht="15.75" customHeight="1">
      <c r="B540" s="47"/>
    </row>
    <row r="541" ht="15.75" customHeight="1">
      <c r="B541" s="47"/>
    </row>
    <row r="542" ht="15.75" customHeight="1">
      <c r="B542" s="47"/>
    </row>
    <row r="543" ht="15.75" customHeight="1">
      <c r="B543" s="47"/>
    </row>
    <row r="544" ht="15.75" customHeight="1">
      <c r="B544" s="47"/>
    </row>
    <row r="545" ht="15.75" customHeight="1">
      <c r="B545" s="47"/>
    </row>
    <row r="546" ht="15.75" customHeight="1">
      <c r="B546" s="47"/>
    </row>
    <row r="547" ht="15.75" customHeight="1">
      <c r="B547" s="47"/>
    </row>
    <row r="548" ht="15.75" customHeight="1">
      <c r="B548" s="47"/>
    </row>
    <row r="549" ht="15.75" customHeight="1">
      <c r="B549" s="47"/>
    </row>
    <row r="550" ht="15.75" customHeight="1">
      <c r="B550" s="47"/>
    </row>
    <row r="551" ht="15.75" customHeight="1">
      <c r="B551" s="47"/>
    </row>
    <row r="552" ht="15.75" customHeight="1">
      <c r="B552" s="47"/>
    </row>
    <row r="553" ht="15.75" customHeight="1">
      <c r="B553" s="47"/>
    </row>
    <row r="554" ht="15.75" customHeight="1">
      <c r="B554" s="47"/>
    </row>
    <row r="555" ht="15.75" customHeight="1">
      <c r="B555" s="47"/>
    </row>
    <row r="556" ht="15.75" customHeight="1">
      <c r="B556" s="47"/>
    </row>
    <row r="557" ht="15.75" customHeight="1">
      <c r="B557" s="47"/>
    </row>
    <row r="558" ht="15.75" customHeight="1">
      <c r="B558" s="47"/>
    </row>
    <row r="559" ht="15.75" customHeight="1">
      <c r="B559" s="47"/>
    </row>
    <row r="560" ht="15.75" customHeight="1">
      <c r="B560" s="47"/>
    </row>
    <row r="561" ht="15.75" customHeight="1">
      <c r="B561" s="47"/>
    </row>
    <row r="562" ht="15.75" customHeight="1">
      <c r="B562" s="47"/>
    </row>
    <row r="563" ht="15.75" customHeight="1">
      <c r="B563" s="47"/>
    </row>
    <row r="564" ht="15.75" customHeight="1">
      <c r="B564" s="47"/>
    </row>
    <row r="565" ht="15.75" customHeight="1">
      <c r="B565" s="47"/>
    </row>
    <row r="566" ht="15.75" customHeight="1">
      <c r="B566" s="47"/>
    </row>
    <row r="567" ht="15.75" customHeight="1">
      <c r="B567" s="47"/>
    </row>
    <row r="568" ht="15.75" customHeight="1">
      <c r="B568" s="47"/>
    </row>
    <row r="569" ht="15.75" customHeight="1">
      <c r="B569" s="47"/>
    </row>
    <row r="570" ht="15.75" customHeight="1">
      <c r="B570" s="47"/>
    </row>
    <row r="571" ht="15.75" customHeight="1">
      <c r="B571" s="47"/>
    </row>
    <row r="572" ht="15.75" customHeight="1">
      <c r="B572" s="47"/>
    </row>
    <row r="573" ht="15.75" customHeight="1">
      <c r="B573" s="47"/>
    </row>
    <row r="574" ht="15.75" customHeight="1">
      <c r="B574" s="47"/>
    </row>
    <row r="575" ht="15.75" customHeight="1">
      <c r="B575" s="47"/>
    </row>
    <row r="576" ht="15.75" customHeight="1">
      <c r="B576" s="47"/>
    </row>
    <row r="577" ht="15.75" customHeight="1">
      <c r="B577" s="47"/>
    </row>
    <row r="578" ht="15.75" customHeight="1">
      <c r="B578" s="47"/>
    </row>
    <row r="579" ht="15.75" customHeight="1">
      <c r="B579" s="47"/>
    </row>
    <row r="580" ht="15.75" customHeight="1">
      <c r="B580" s="47"/>
    </row>
    <row r="581" ht="15.75" customHeight="1">
      <c r="B581" s="47"/>
    </row>
    <row r="582" ht="15.75" customHeight="1">
      <c r="B582" s="47"/>
    </row>
    <row r="583" ht="15.75" customHeight="1">
      <c r="B583" s="47"/>
    </row>
    <row r="584" ht="15.75" customHeight="1">
      <c r="B584" s="47"/>
    </row>
    <row r="585" ht="15.75" customHeight="1">
      <c r="B585" s="47"/>
    </row>
    <row r="586" ht="15.75" customHeight="1">
      <c r="B586" s="47"/>
    </row>
    <row r="587" ht="15.75" customHeight="1">
      <c r="B587" s="47"/>
    </row>
    <row r="588" ht="15.75" customHeight="1">
      <c r="B588" s="47"/>
    </row>
    <row r="589" ht="15.75" customHeight="1">
      <c r="B589" s="47"/>
    </row>
    <row r="590" ht="15.75" customHeight="1">
      <c r="B590" s="47"/>
    </row>
    <row r="591" ht="15.75" customHeight="1">
      <c r="B591" s="47"/>
    </row>
    <row r="592" ht="15.75" customHeight="1">
      <c r="B592" s="47"/>
    </row>
    <row r="593" ht="15.75" customHeight="1">
      <c r="B593" s="47"/>
    </row>
    <row r="594" ht="15.75" customHeight="1">
      <c r="B594" s="47"/>
    </row>
    <row r="595" ht="15.75" customHeight="1">
      <c r="B595" s="47"/>
    </row>
    <row r="596" ht="15.75" customHeight="1">
      <c r="B596" s="47"/>
    </row>
    <row r="597" ht="15.75" customHeight="1">
      <c r="B597" s="47"/>
    </row>
    <row r="598" ht="15.75" customHeight="1">
      <c r="B598" s="47"/>
    </row>
    <row r="599" ht="15.75" customHeight="1">
      <c r="B599" s="47"/>
    </row>
    <row r="600" ht="15.75" customHeight="1">
      <c r="B600" s="47"/>
    </row>
    <row r="601" ht="15.75" customHeight="1">
      <c r="B601" s="47"/>
    </row>
    <row r="602" ht="15.75" customHeight="1">
      <c r="B602" s="47"/>
    </row>
    <row r="603" ht="15.75" customHeight="1">
      <c r="B603" s="47"/>
    </row>
    <row r="604" ht="15.75" customHeight="1">
      <c r="B604" s="47"/>
    </row>
    <row r="605" ht="15.75" customHeight="1">
      <c r="B605" s="47"/>
    </row>
    <row r="606" ht="15.75" customHeight="1">
      <c r="B606" s="47"/>
    </row>
    <row r="607" ht="15.75" customHeight="1">
      <c r="B607" s="47"/>
    </row>
    <row r="608" ht="15.75" customHeight="1">
      <c r="B608" s="47"/>
    </row>
    <row r="609" ht="15.75" customHeight="1">
      <c r="B609" s="47"/>
    </row>
    <row r="610" ht="15.75" customHeight="1">
      <c r="B610" s="47"/>
    </row>
    <row r="611" ht="15.75" customHeight="1">
      <c r="B611" s="47"/>
    </row>
    <row r="612" ht="15.75" customHeight="1">
      <c r="B612" s="47"/>
    </row>
    <row r="613" ht="15.75" customHeight="1">
      <c r="B613" s="47"/>
    </row>
    <row r="614" ht="15.75" customHeight="1">
      <c r="B614" s="47"/>
    </row>
    <row r="615" ht="15.75" customHeight="1">
      <c r="B615" s="47"/>
    </row>
    <row r="616" ht="15.75" customHeight="1">
      <c r="B616" s="47"/>
    </row>
    <row r="617" ht="15.75" customHeight="1">
      <c r="B617" s="47"/>
    </row>
    <row r="618" ht="15.75" customHeight="1">
      <c r="B618" s="47"/>
    </row>
    <row r="619" ht="15.75" customHeight="1">
      <c r="B619" s="47"/>
    </row>
    <row r="620" ht="15.75" customHeight="1">
      <c r="B620" s="47"/>
    </row>
    <row r="621" ht="15.75" customHeight="1">
      <c r="B621" s="47"/>
    </row>
    <row r="622" ht="15.75" customHeight="1">
      <c r="B622" s="47"/>
    </row>
    <row r="623" ht="15.75" customHeight="1">
      <c r="B623" s="47"/>
    </row>
    <row r="624" ht="15.75" customHeight="1">
      <c r="B624" s="47"/>
    </row>
    <row r="625" ht="15.75" customHeight="1">
      <c r="B625" s="47"/>
    </row>
    <row r="626" ht="15.75" customHeight="1">
      <c r="B626" s="47"/>
    </row>
    <row r="627" ht="15.75" customHeight="1">
      <c r="B627" s="47"/>
    </row>
    <row r="628" ht="15.75" customHeight="1">
      <c r="B628" s="47"/>
    </row>
    <row r="629" ht="15.75" customHeight="1">
      <c r="B629" s="47"/>
    </row>
    <row r="630" ht="15.75" customHeight="1">
      <c r="B630" s="47"/>
    </row>
    <row r="631" ht="15.75" customHeight="1">
      <c r="B631" s="47"/>
    </row>
    <row r="632" ht="15.75" customHeight="1">
      <c r="B632" s="47"/>
    </row>
    <row r="633" ht="15.75" customHeight="1">
      <c r="B633" s="47"/>
    </row>
    <row r="634" ht="15.75" customHeight="1">
      <c r="B634" s="47"/>
    </row>
    <row r="635" ht="15.75" customHeight="1">
      <c r="B635" s="47"/>
    </row>
    <row r="636" ht="15.75" customHeight="1">
      <c r="B636" s="47"/>
    </row>
    <row r="637" ht="15.75" customHeight="1">
      <c r="B637" s="47"/>
    </row>
    <row r="638" ht="15.75" customHeight="1">
      <c r="B638" s="47"/>
    </row>
    <row r="639" ht="15.75" customHeight="1">
      <c r="B639" s="47"/>
    </row>
    <row r="640" ht="15.75" customHeight="1">
      <c r="B640" s="47"/>
    </row>
    <row r="641" ht="15.75" customHeight="1">
      <c r="B641" s="47"/>
    </row>
    <row r="642" ht="15.75" customHeight="1">
      <c r="B642" s="47"/>
    </row>
    <row r="643" ht="15.75" customHeight="1">
      <c r="B643" s="47"/>
    </row>
    <row r="644" ht="15.75" customHeight="1">
      <c r="B644" s="47"/>
    </row>
    <row r="645" ht="15.75" customHeight="1">
      <c r="B645" s="47"/>
    </row>
    <row r="646" ht="15.75" customHeight="1">
      <c r="B646" s="47"/>
    </row>
    <row r="647" ht="15.75" customHeight="1">
      <c r="B647" s="47"/>
    </row>
    <row r="648" ht="15.75" customHeight="1">
      <c r="B648" s="47"/>
    </row>
    <row r="649" ht="15.75" customHeight="1">
      <c r="B649" s="47"/>
    </row>
    <row r="650" ht="15.75" customHeight="1">
      <c r="B650" s="47"/>
    </row>
    <row r="651" ht="15.75" customHeight="1">
      <c r="B651" s="47"/>
    </row>
    <row r="652" ht="15.75" customHeight="1">
      <c r="B652" s="47"/>
    </row>
    <row r="653" ht="15.75" customHeight="1">
      <c r="B653" s="47"/>
    </row>
    <row r="654" ht="15.75" customHeight="1">
      <c r="B654" s="47"/>
    </row>
    <row r="655" ht="15.75" customHeight="1">
      <c r="B655" s="47"/>
    </row>
    <row r="656" ht="15.75" customHeight="1">
      <c r="B656" s="47"/>
    </row>
    <row r="657" ht="15.75" customHeight="1">
      <c r="B657" s="47"/>
    </row>
    <row r="658" ht="15.75" customHeight="1">
      <c r="B658" s="47"/>
    </row>
    <row r="659" ht="15.75" customHeight="1">
      <c r="B659" s="47"/>
    </row>
    <row r="660" ht="15.75" customHeight="1">
      <c r="B660" s="47"/>
    </row>
    <row r="661" ht="15.75" customHeight="1">
      <c r="B661" s="47"/>
    </row>
    <row r="662" ht="15.75" customHeight="1">
      <c r="B662" s="47"/>
    </row>
    <row r="663" ht="15.75" customHeight="1">
      <c r="B663" s="47"/>
    </row>
    <row r="664" ht="15.75" customHeight="1">
      <c r="B664" s="47"/>
    </row>
    <row r="665" ht="15.75" customHeight="1">
      <c r="B665" s="47"/>
    </row>
    <row r="666" ht="15.75" customHeight="1">
      <c r="B666" s="47"/>
    </row>
    <row r="667" ht="15.75" customHeight="1">
      <c r="B667" s="47"/>
    </row>
    <row r="668" ht="15.75" customHeight="1">
      <c r="B668" s="47"/>
    </row>
    <row r="669" ht="15.75" customHeight="1">
      <c r="B669" s="47"/>
    </row>
    <row r="670" ht="15.75" customHeight="1">
      <c r="B670" s="47"/>
    </row>
    <row r="671" ht="15.75" customHeight="1">
      <c r="B671" s="47"/>
    </row>
    <row r="672" ht="15.75" customHeight="1">
      <c r="B672" s="47"/>
    </row>
    <row r="673" ht="15.75" customHeight="1">
      <c r="B673" s="47"/>
    </row>
    <row r="674" ht="15.75" customHeight="1">
      <c r="B674" s="47"/>
    </row>
    <row r="675" ht="15.75" customHeight="1">
      <c r="B675" s="47"/>
    </row>
    <row r="676" ht="15.75" customHeight="1">
      <c r="B676" s="47"/>
    </row>
    <row r="677" ht="15.75" customHeight="1">
      <c r="B677" s="47"/>
    </row>
    <row r="678" ht="15.75" customHeight="1">
      <c r="B678" s="47"/>
    </row>
    <row r="679" ht="15.75" customHeight="1">
      <c r="B679" s="47"/>
    </row>
    <row r="680" ht="15.75" customHeight="1">
      <c r="B680" s="47"/>
    </row>
    <row r="681" ht="15.75" customHeight="1">
      <c r="B681" s="47"/>
    </row>
    <row r="682" ht="15.75" customHeight="1">
      <c r="B682" s="47"/>
    </row>
    <row r="683" ht="15.75" customHeight="1">
      <c r="B683" s="47"/>
    </row>
    <row r="684" ht="15.75" customHeight="1">
      <c r="B684" s="47"/>
    </row>
    <row r="685" ht="15.75" customHeight="1">
      <c r="B685" s="47"/>
    </row>
    <row r="686" ht="15.75" customHeight="1">
      <c r="B686" s="47"/>
    </row>
    <row r="687" ht="15.75" customHeight="1">
      <c r="B687" s="47"/>
    </row>
    <row r="688" ht="15.75" customHeight="1">
      <c r="B688" s="47"/>
    </row>
    <row r="689" ht="15.75" customHeight="1">
      <c r="B689" s="47"/>
    </row>
    <row r="690" ht="15.75" customHeight="1">
      <c r="B690" s="47"/>
    </row>
    <row r="691" ht="15.75" customHeight="1">
      <c r="B691" s="47"/>
    </row>
    <row r="692" ht="15.75" customHeight="1">
      <c r="B692" s="47"/>
    </row>
    <row r="693" ht="15.75" customHeight="1">
      <c r="B693" s="47"/>
    </row>
    <row r="694" ht="15.75" customHeight="1">
      <c r="B694" s="47"/>
    </row>
    <row r="695" ht="15.75" customHeight="1">
      <c r="B695" s="47"/>
    </row>
    <row r="696" ht="15.75" customHeight="1">
      <c r="B696" s="47"/>
    </row>
    <row r="697" ht="15.75" customHeight="1">
      <c r="B697" s="47"/>
    </row>
    <row r="698" ht="15.75" customHeight="1">
      <c r="B698" s="47"/>
    </row>
    <row r="699" ht="15.75" customHeight="1">
      <c r="B699" s="47"/>
    </row>
    <row r="700" ht="15.75" customHeight="1">
      <c r="B700" s="47"/>
    </row>
    <row r="701" ht="15.75" customHeight="1">
      <c r="B701" s="47"/>
    </row>
    <row r="702" ht="15.75" customHeight="1">
      <c r="B702" s="47"/>
    </row>
    <row r="703" ht="15.75" customHeight="1">
      <c r="B703" s="47"/>
    </row>
    <row r="704" ht="15.75" customHeight="1">
      <c r="B704" s="47"/>
    </row>
    <row r="705" ht="15.75" customHeight="1">
      <c r="B705" s="47"/>
    </row>
    <row r="706" ht="15.75" customHeight="1">
      <c r="B706" s="47"/>
    </row>
    <row r="707" ht="15.75" customHeight="1">
      <c r="B707" s="47"/>
    </row>
    <row r="708" ht="15.75" customHeight="1">
      <c r="B708" s="47"/>
    </row>
    <row r="709" ht="15.75" customHeight="1">
      <c r="B709" s="47"/>
    </row>
    <row r="710" ht="15.75" customHeight="1">
      <c r="B710" s="47"/>
    </row>
    <row r="711" ht="15.75" customHeight="1">
      <c r="B711" s="47"/>
    </row>
    <row r="712" ht="15.75" customHeight="1">
      <c r="B712" s="47"/>
    </row>
    <row r="713" ht="15.75" customHeight="1">
      <c r="B713" s="47"/>
    </row>
    <row r="714" ht="15.75" customHeight="1">
      <c r="B714" s="47"/>
    </row>
    <row r="715" ht="15.75" customHeight="1">
      <c r="B715" s="47"/>
    </row>
    <row r="716" ht="15.75" customHeight="1">
      <c r="B716" s="47"/>
    </row>
    <row r="717" ht="15.75" customHeight="1">
      <c r="B717" s="47"/>
    </row>
    <row r="718" ht="15.75" customHeight="1">
      <c r="B718" s="47"/>
    </row>
    <row r="719" ht="15.75" customHeight="1">
      <c r="B719" s="47"/>
    </row>
    <row r="720" ht="15.75" customHeight="1">
      <c r="B720" s="47"/>
    </row>
    <row r="721" ht="15.75" customHeight="1">
      <c r="B721" s="47"/>
    </row>
    <row r="722" ht="15.75" customHeight="1">
      <c r="B722" s="47"/>
    </row>
    <row r="723" ht="15.75" customHeight="1">
      <c r="B723" s="47"/>
    </row>
    <row r="724" ht="15.75" customHeight="1">
      <c r="B724" s="47"/>
    </row>
    <row r="725" ht="15.75" customHeight="1">
      <c r="B725" s="47"/>
    </row>
    <row r="726" ht="15.75" customHeight="1">
      <c r="B726" s="47"/>
    </row>
    <row r="727" ht="15.75" customHeight="1">
      <c r="B727" s="47"/>
    </row>
    <row r="728" ht="15.75" customHeight="1">
      <c r="B728" s="47"/>
    </row>
    <row r="729" ht="15.75" customHeight="1">
      <c r="B729" s="47"/>
    </row>
    <row r="730" ht="15.75" customHeight="1">
      <c r="B730" s="47"/>
    </row>
    <row r="731" ht="15.75" customHeight="1">
      <c r="B731" s="47"/>
    </row>
    <row r="732" ht="15.75" customHeight="1">
      <c r="B732" s="47"/>
    </row>
    <row r="733" ht="15.75" customHeight="1">
      <c r="B733" s="47"/>
    </row>
    <row r="734" ht="15.75" customHeight="1">
      <c r="B734" s="47"/>
    </row>
    <row r="735" ht="15.75" customHeight="1">
      <c r="B735" s="47"/>
    </row>
    <row r="736" ht="15.75" customHeight="1">
      <c r="B736" s="47"/>
    </row>
    <row r="737" ht="15.75" customHeight="1">
      <c r="B737" s="47"/>
    </row>
    <row r="738" ht="15.75" customHeight="1">
      <c r="B738" s="47"/>
    </row>
    <row r="739" ht="15.75" customHeight="1">
      <c r="B739" s="47"/>
    </row>
    <row r="740" ht="15.75" customHeight="1">
      <c r="B740" s="47"/>
    </row>
    <row r="741" ht="15.75" customHeight="1">
      <c r="B741" s="47"/>
    </row>
    <row r="742" ht="15.75" customHeight="1">
      <c r="B742" s="47"/>
    </row>
    <row r="743" ht="15.75" customHeight="1">
      <c r="B743" s="47"/>
    </row>
    <row r="744" ht="15.75" customHeight="1">
      <c r="B744" s="47"/>
    </row>
    <row r="745" ht="15.75" customHeight="1">
      <c r="B745" s="47"/>
    </row>
    <row r="746" ht="15.75" customHeight="1">
      <c r="B746" s="47"/>
    </row>
    <row r="747" ht="15.75" customHeight="1">
      <c r="B747" s="47"/>
    </row>
    <row r="748" ht="15.75" customHeight="1">
      <c r="B748" s="47"/>
    </row>
    <row r="749" ht="15.75" customHeight="1">
      <c r="B749" s="47"/>
    </row>
    <row r="750" ht="15.75" customHeight="1">
      <c r="B750" s="47"/>
    </row>
    <row r="751" ht="15.75" customHeight="1">
      <c r="B751" s="47"/>
    </row>
    <row r="752" ht="15.75" customHeight="1">
      <c r="B752" s="47"/>
    </row>
    <row r="753" ht="15.75" customHeight="1">
      <c r="B753" s="47"/>
    </row>
    <row r="754" ht="15.75" customHeight="1">
      <c r="B754" s="47"/>
    </row>
    <row r="755" ht="15.75" customHeight="1">
      <c r="B755" s="47"/>
    </row>
    <row r="756" ht="15.75" customHeight="1">
      <c r="B756" s="47"/>
    </row>
    <row r="757" ht="15.75" customHeight="1">
      <c r="B757" s="47"/>
    </row>
    <row r="758" ht="15.75" customHeight="1">
      <c r="B758" s="47"/>
    </row>
    <row r="759" ht="15.75" customHeight="1">
      <c r="B759" s="47"/>
    </row>
    <row r="760" ht="15.75" customHeight="1">
      <c r="B760" s="47"/>
    </row>
    <row r="761" ht="15.75" customHeight="1">
      <c r="B761" s="47"/>
    </row>
    <row r="762" ht="15.75" customHeight="1">
      <c r="B762" s="47"/>
    </row>
    <row r="763" ht="15.75" customHeight="1">
      <c r="B763" s="47"/>
    </row>
    <row r="764" ht="15.75" customHeight="1">
      <c r="B764" s="47"/>
    </row>
    <row r="765" ht="15.75" customHeight="1">
      <c r="B765" s="47"/>
    </row>
    <row r="766" ht="15.75" customHeight="1">
      <c r="B766" s="47"/>
    </row>
    <row r="767" ht="15.75" customHeight="1">
      <c r="B767" s="47"/>
    </row>
    <row r="768" ht="15.75" customHeight="1">
      <c r="B768" s="47"/>
    </row>
    <row r="769" ht="15.75" customHeight="1">
      <c r="B769" s="47"/>
    </row>
    <row r="770" ht="15.75" customHeight="1">
      <c r="B770" s="47"/>
    </row>
    <row r="771" ht="15.75" customHeight="1">
      <c r="B771" s="47"/>
    </row>
    <row r="772" ht="15.75" customHeight="1">
      <c r="B772" s="47"/>
    </row>
    <row r="773" ht="15.75" customHeight="1">
      <c r="B773" s="47"/>
    </row>
    <row r="774" ht="15.75" customHeight="1">
      <c r="B774" s="47"/>
    </row>
    <row r="775" ht="15.75" customHeight="1">
      <c r="B775" s="47"/>
    </row>
    <row r="776" ht="15.75" customHeight="1">
      <c r="B776" s="47"/>
    </row>
    <row r="777" ht="15.75" customHeight="1">
      <c r="B777" s="47"/>
    </row>
    <row r="778" ht="15.75" customHeight="1">
      <c r="B778" s="47"/>
    </row>
    <row r="779" ht="15.75" customHeight="1">
      <c r="B779" s="47"/>
    </row>
    <row r="780" ht="15.75" customHeight="1">
      <c r="B780" s="47"/>
    </row>
    <row r="781" ht="15.75" customHeight="1">
      <c r="B781" s="47"/>
    </row>
    <row r="782" ht="15.75" customHeight="1">
      <c r="B782" s="47"/>
    </row>
    <row r="783" ht="15.75" customHeight="1">
      <c r="B783" s="47"/>
    </row>
    <row r="784" ht="15.75" customHeight="1">
      <c r="B784" s="47"/>
    </row>
    <row r="785" ht="15.75" customHeight="1">
      <c r="B785" s="47"/>
    </row>
    <row r="786" ht="15.75" customHeight="1">
      <c r="B786" s="47"/>
    </row>
    <row r="787" ht="15.75" customHeight="1">
      <c r="B787" s="47"/>
    </row>
    <row r="788" ht="15.75" customHeight="1">
      <c r="B788" s="47"/>
    </row>
    <row r="789" ht="15.75" customHeight="1">
      <c r="B789" s="47"/>
    </row>
    <row r="790" ht="15.75" customHeight="1">
      <c r="B790" s="47"/>
    </row>
    <row r="791" ht="15.75" customHeight="1">
      <c r="B791" s="47"/>
    </row>
    <row r="792" ht="15.75" customHeight="1">
      <c r="B792" s="47"/>
    </row>
    <row r="793" ht="15.75" customHeight="1">
      <c r="B793" s="47"/>
    </row>
    <row r="794" ht="15.75" customHeight="1">
      <c r="B794" s="47"/>
    </row>
    <row r="795" ht="15.75" customHeight="1">
      <c r="B795" s="47"/>
    </row>
    <row r="796" ht="15.75" customHeight="1">
      <c r="B796" s="47"/>
    </row>
    <row r="797" ht="15.75" customHeight="1">
      <c r="B797" s="47"/>
    </row>
    <row r="798" ht="15.75" customHeight="1">
      <c r="B798" s="47"/>
    </row>
    <row r="799" ht="15.75" customHeight="1">
      <c r="B799" s="47"/>
    </row>
    <row r="800" ht="15.75" customHeight="1">
      <c r="B800" s="47"/>
    </row>
    <row r="801" ht="15.75" customHeight="1">
      <c r="B801" s="47"/>
    </row>
    <row r="802" ht="15.75" customHeight="1">
      <c r="B802" s="47"/>
    </row>
    <row r="803" ht="15.75" customHeight="1">
      <c r="B803" s="47"/>
    </row>
    <row r="804" ht="15.75" customHeight="1">
      <c r="B804" s="47"/>
    </row>
    <row r="805" ht="15.75" customHeight="1">
      <c r="B805" s="47"/>
    </row>
    <row r="806" ht="15.75" customHeight="1">
      <c r="B806" s="47"/>
    </row>
    <row r="807" ht="15.75" customHeight="1">
      <c r="B807" s="47"/>
    </row>
    <row r="808" ht="15.75" customHeight="1">
      <c r="B808" s="47"/>
    </row>
    <row r="809" ht="15.75" customHeight="1">
      <c r="B809" s="47"/>
    </row>
    <row r="810" ht="15.75" customHeight="1">
      <c r="B810" s="47"/>
    </row>
    <row r="811" ht="15.75" customHeight="1">
      <c r="B811" s="47"/>
    </row>
    <row r="812" ht="15.75" customHeight="1">
      <c r="B812" s="47"/>
    </row>
    <row r="813" ht="15.75" customHeight="1">
      <c r="B813" s="47"/>
    </row>
    <row r="814" ht="15.75" customHeight="1">
      <c r="B814" s="47"/>
    </row>
    <row r="815" ht="15.75" customHeight="1">
      <c r="B815" s="47"/>
    </row>
    <row r="816" ht="15.75" customHeight="1">
      <c r="B816" s="47"/>
    </row>
    <row r="817" ht="15.75" customHeight="1">
      <c r="B817" s="47"/>
    </row>
    <row r="818" ht="15.75" customHeight="1">
      <c r="B818" s="47"/>
    </row>
    <row r="819" ht="15.75" customHeight="1">
      <c r="B819" s="47"/>
    </row>
    <row r="820" ht="15.75" customHeight="1">
      <c r="B820" s="47"/>
    </row>
    <row r="821" ht="15.75" customHeight="1">
      <c r="B821" s="47"/>
    </row>
    <row r="822" ht="15.75" customHeight="1">
      <c r="B822" s="47"/>
    </row>
    <row r="823" ht="15.75" customHeight="1">
      <c r="B823" s="47"/>
    </row>
    <row r="824" ht="15.75" customHeight="1">
      <c r="B824" s="47"/>
    </row>
    <row r="825" ht="15.75" customHeight="1">
      <c r="B825" s="47"/>
    </row>
    <row r="826" ht="15.75" customHeight="1">
      <c r="B826" s="47"/>
    </row>
    <row r="827" ht="15.75" customHeight="1">
      <c r="B827" s="47"/>
    </row>
    <row r="828" ht="15.75" customHeight="1">
      <c r="B828" s="47"/>
    </row>
    <row r="829" ht="15.75" customHeight="1">
      <c r="B829" s="47"/>
    </row>
    <row r="830" ht="15.75" customHeight="1">
      <c r="B830" s="47"/>
    </row>
    <row r="831" ht="15.75" customHeight="1">
      <c r="B831" s="47"/>
    </row>
    <row r="832" ht="15.75" customHeight="1">
      <c r="B832" s="47"/>
    </row>
    <row r="833" ht="15.75" customHeight="1">
      <c r="B833" s="47"/>
    </row>
    <row r="834" ht="15.75" customHeight="1">
      <c r="B834" s="47"/>
    </row>
    <row r="835" ht="15.75" customHeight="1">
      <c r="B835" s="47"/>
    </row>
    <row r="836" ht="15.75" customHeight="1">
      <c r="B836" s="47"/>
    </row>
    <row r="837" ht="15.75" customHeight="1">
      <c r="B837" s="47"/>
    </row>
    <row r="838" ht="15.75" customHeight="1">
      <c r="B838" s="47"/>
    </row>
    <row r="839" ht="15.75" customHeight="1">
      <c r="B839" s="47"/>
    </row>
    <row r="840" ht="15.75" customHeight="1">
      <c r="B840" s="47"/>
    </row>
    <row r="841" ht="15.75" customHeight="1">
      <c r="B841" s="47"/>
    </row>
    <row r="842" ht="15.75" customHeight="1">
      <c r="B842" s="47"/>
    </row>
    <row r="843" ht="15.75" customHeight="1">
      <c r="B843" s="47"/>
    </row>
    <row r="844" ht="15.75" customHeight="1">
      <c r="B844" s="47"/>
    </row>
    <row r="845" ht="15.75" customHeight="1">
      <c r="B845" s="47"/>
    </row>
    <row r="846" ht="15.75" customHeight="1">
      <c r="B846" s="47"/>
    </row>
    <row r="847" ht="15.75" customHeight="1">
      <c r="B847" s="47"/>
    </row>
    <row r="848" ht="15.75" customHeight="1">
      <c r="B848" s="47"/>
    </row>
    <row r="849" ht="15.75" customHeight="1">
      <c r="B849" s="47"/>
    </row>
    <row r="850" ht="15.75" customHeight="1">
      <c r="B850" s="47"/>
    </row>
    <row r="851" ht="15.75" customHeight="1">
      <c r="B851" s="47"/>
    </row>
    <row r="852" ht="15.75" customHeight="1">
      <c r="B852" s="47"/>
    </row>
    <row r="853" ht="15.75" customHeight="1">
      <c r="B853" s="47"/>
    </row>
    <row r="854" ht="15.75" customHeight="1">
      <c r="B854" s="47"/>
    </row>
    <row r="855" ht="15.75" customHeight="1">
      <c r="B855" s="47"/>
    </row>
    <row r="856" ht="15.75" customHeight="1">
      <c r="B856" s="47"/>
    </row>
    <row r="857" ht="15.75" customHeight="1">
      <c r="B857" s="47"/>
    </row>
    <row r="858" ht="15.75" customHeight="1">
      <c r="B858" s="47"/>
    </row>
    <row r="859" ht="15.75" customHeight="1">
      <c r="B859" s="47"/>
    </row>
    <row r="860" ht="15.75" customHeight="1">
      <c r="B860" s="47"/>
    </row>
    <row r="861" ht="15.75" customHeight="1">
      <c r="B861" s="47"/>
    </row>
    <row r="862" ht="15.75" customHeight="1">
      <c r="B862" s="47"/>
    </row>
    <row r="863" ht="15.75" customHeight="1">
      <c r="B863" s="47"/>
    </row>
    <row r="864" ht="15.75" customHeight="1">
      <c r="B864" s="47"/>
    </row>
    <row r="865" ht="15.75" customHeight="1">
      <c r="B865" s="47"/>
    </row>
    <row r="866" ht="15.75" customHeight="1">
      <c r="B866" s="47"/>
    </row>
    <row r="867" ht="15.75" customHeight="1">
      <c r="B867" s="47"/>
    </row>
    <row r="868" ht="15.75" customHeight="1">
      <c r="B868" s="47"/>
    </row>
    <row r="869" ht="15.75" customHeight="1">
      <c r="B869" s="47"/>
    </row>
    <row r="870" ht="15.75" customHeight="1">
      <c r="B870" s="47"/>
    </row>
    <row r="871" ht="15.75" customHeight="1">
      <c r="B871" s="47"/>
    </row>
    <row r="872" ht="15.75" customHeight="1">
      <c r="B872" s="47"/>
    </row>
    <row r="873" ht="15.75" customHeight="1">
      <c r="B873" s="47"/>
    </row>
    <row r="874" ht="15.75" customHeight="1">
      <c r="B874" s="47"/>
    </row>
    <row r="875" ht="15.75" customHeight="1">
      <c r="B875" s="47"/>
    </row>
    <row r="876" ht="15.75" customHeight="1">
      <c r="B876" s="47"/>
    </row>
    <row r="877" ht="15.75" customHeight="1">
      <c r="B877" s="47"/>
    </row>
    <row r="878" ht="15.75" customHeight="1">
      <c r="B878" s="47"/>
    </row>
    <row r="879" ht="15.75" customHeight="1">
      <c r="B879" s="47"/>
    </row>
    <row r="880" ht="15.75" customHeight="1">
      <c r="B880" s="47"/>
    </row>
    <row r="881" ht="15.75" customHeight="1">
      <c r="B881" s="47"/>
    </row>
    <row r="882" ht="15.75" customHeight="1">
      <c r="B882" s="47"/>
    </row>
    <row r="883" ht="15.75" customHeight="1">
      <c r="B883" s="47"/>
    </row>
    <row r="884" ht="15.75" customHeight="1">
      <c r="B884" s="47"/>
    </row>
    <row r="885" ht="15.75" customHeight="1">
      <c r="B885" s="47"/>
    </row>
    <row r="886" ht="15.75" customHeight="1">
      <c r="B886" s="47"/>
    </row>
    <row r="887" ht="15.75" customHeight="1">
      <c r="B887" s="47"/>
    </row>
    <row r="888" ht="15.75" customHeight="1">
      <c r="B888" s="47"/>
    </row>
    <row r="889" ht="15.75" customHeight="1">
      <c r="B889" s="47"/>
    </row>
    <row r="890" ht="15.75" customHeight="1">
      <c r="B890" s="47"/>
    </row>
    <row r="891" ht="15.75" customHeight="1">
      <c r="B891" s="47"/>
    </row>
    <row r="892" ht="15.75" customHeight="1">
      <c r="B892" s="47"/>
    </row>
    <row r="893" ht="15.75" customHeight="1">
      <c r="B893" s="47"/>
    </row>
    <row r="894" ht="15.75" customHeight="1">
      <c r="B894" s="47"/>
    </row>
    <row r="895" ht="15.75" customHeight="1">
      <c r="B895" s="47"/>
    </row>
    <row r="896" ht="15.75" customHeight="1">
      <c r="B896" s="47"/>
    </row>
    <row r="897" ht="15.75" customHeight="1">
      <c r="B897" s="47"/>
    </row>
    <row r="898" ht="15.75" customHeight="1">
      <c r="B898" s="47"/>
    </row>
    <row r="899" ht="15.75" customHeight="1">
      <c r="B899" s="47"/>
    </row>
    <row r="900" ht="15.75" customHeight="1">
      <c r="B900" s="47"/>
    </row>
    <row r="901" ht="15.75" customHeight="1">
      <c r="B901" s="47"/>
    </row>
    <row r="902" ht="15.75" customHeight="1">
      <c r="B902" s="47"/>
    </row>
    <row r="903" ht="15.75" customHeight="1">
      <c r="B903" s="47"/>
    </row>
    <row r="904" ht="15.75" customHeight="1">
      <c r="B904" s="47"/>
    </row>
    <row r="905" ht="15.75" customHeight="1">
      <c r="B905" s="47"/>
    </row>
    <row r="906" ht="15.75" customHeight="1">
      <c r="B906" s="47"/>
    </row>
    <row r="907" ht="15.75" customHeight="1">
      <c r="B907" s="47"/>
    </row>
    <row r="908" ht="15.75" customHeight="1">
      <c r="B908" s="47"/>
    </row>
    <row r="909" ht="15.75" customHeight="1">
      <c r="B909" s="47"/>
    </row>
    <row r="910" ht="15.75" customHeight="1">
      <c r="B910" s="47"/>
    </row>
    <row r="911" ht="15.75" customHeight="1">
      <c r="B911" s="47"/>
    </row>
    <row r="912" ht="15.75" customHeight="1">
      <c r="B912" s="47"/>
    </row>
    <row r="913" ht="15.75" customHeight="1">
      <c r="B913" s="47"/>
    </row>
    <row r="914" ht="15.75" customHeight="1">
      <c r="B914" s="47"/>
    </row>
    <row r="915" ht="15.75" customHeight="1">
      <c r="B915" s="47"/>
    </row>
    <row r="916" ht="15.75" customHeight="1">
      <c r="B916" s="47"/>
    </row>
    <row r="917" ht="15.75" customHeight="1">
      <c r="B917" s="47"/>
    </row>
    <row r="918" ht="15.75" customHeight="1">
      <c r="B918" s="47"/>
    </row>
    <row r="919" ht="15.75" customHeight="1">
      <c r="B919" s="47"/>
    </row>
    <row r="920" ht="15.75" customHeight="1">
      <c r="B920" s="47"/>
    </row>
    <row r="921" ht="15.75" customHeight="1">
      <c r="B921" s="47"/>
    </row>
    <row r="922" ht="15.75" customHeight="1">
      <c r="B922" s="47"/>
    </row>
    <row r="923" ht="15.75" customHeight="1">
      <c r="B923" s="47"/>
    </row>
    <row r="924" ht="15.75" customHeight="1">
      <c r="B924" s="47"/>
    </row>
    <row r="925" ht="15.75" customHeight="1">
      <c r="B925" s="47"/>
    </row>
    <row r="926" ht="15.75" customHeight="1">
      <c r="B926" s="47"/>
    </row>
    <row r="927" ht="15.75" customHeight="1">
      <c r="B927" s="47"/>
    </row>
    <row r="928" ht="15.75" customHeight="1">
      <c r="B928" s="47"/>
    </row>
    <row r="929" ht="15.75" customHeight="1">
      <c r="B929" s="47"/>
    </row>
    <row r="930" ht="15.75" customHeight="1">
      <c r="B930" s="47"/>
    </row>
    <row r="931" ht="15.75" customHeight="1">
      <c r="B931" s="47"/>
    </row>
    <row r="932" ht="15.75" customHeight="1">
      <c r="B932" s="47"/>
    </row>
    <row r="933" ht="15.75" customHeight="1">
      <c r="B933" s="47"/>
    </row>
    <row r="934" ht="15.75" customHeight="1">
      <c r="B934" s="47"/>
    </row>
    <row r="935" ht="15.75" customHeight="1">
      <c r="B935" s="47"/>
    </row>
    <row r="936" ht="15.75" customHeight="1">
      <c r="B936" s="47"/>
    </row>
    <row r="937" ht="15.75" customHeight="1">
      <c r="B937" s="47"/>
    </row>
    <row r="938" ht="15.75" customHeight="1">
      <c r="B938" s="47"/>
    </row>
    <row r="939" ht="15.75" customHeight="1">
      <c r="B939" s="47"/>
    </row>
    <row r="940" ht="15.75" customHeight="1">
      <c r="B940" s="47"/>
    </row>
    <row r="941" ht="15.75" customHeight="1">
      <c r="B941" s="47"/>
    </row>
    <row r="942" ht="15.75" customHeight="1">
      <c r="B942" s="47"/>
    </row>
    <row r="943" ht="15.75" customHeight="1">
      <c r="B943" s="47"/>
    </row>
    <row r="944" ht="15.75" customHeight="1">
      <c r="B944" s="47"/>
    </row>
    <row r="945" ht="15.75" customHeight="1">
      <c r="B945" s="47"/>
    </row>
    <row r="946" ht="15.75" customHeight="1">
      <c r="B946" s="47"/>
    </row>
    <row r="947" ht="15.75" customHeight="1">
      <c r="B947" s="47"/>
    </row>
    <row r="948" ht="15.75" customHeight="1">
      <c r="B948" s="47"/>
    </row>
    <row r="949" ht="15.75" customHeight="1">
      <c r="B949" s="47"/>
    </row>
    <row r="950" ht="15.75" customHeight="1">
      <c r="B950" s="47"/>
    </row>
    <row r="951" ht="15.75" customHeight="1">
      <c r="B951" s="47"/>
    </row>
    <row r="952" ht="15.75" customHeight="1">
      <c r="B952" s="47"/>
    </row>
    <row r="953" ht="15.75" customHeight="1">
      <c r="B953" s="47"/>
    </row>
    <row r="954" ht="15.75" customHeight="1">
      <c r="B954" s="47"/>
    </row>
    <row r="955" ht="15.75" customHeight="1">
      <c r="B955" s="47"/>
    </row>
    <row r="956" ht="15.75" customHeight="1">
      <c r="B956" s="47"/>
    </row>
    <row r="957" ht="15.75" customHeight="1">
      <c r="B957" s="47"/>
    </row>
    <row r="958" ht="15.75" customHeight="1">
      <c r="B958" s="47"/>
    </row>
    <row r="959" ht="15.75" customHeight="1">
      <c r="B959" s="47"/>
    </row>
    <row r="960" ht="15.75" customHeight="1">
      <c r="B960" s="47"/>
    </row>
    <row r="961" ht="15.75" customHeight="1">
      <c r="B961" s="47"/>
    </row>
    <row r="962" ht="15.75" customHeight="1">
      <c r="B962" s="47"/>
    </row>
    <row r="963" ht="15.75" customHeight="1">
      <c r="B963" s="47"/>
    </row>
    <row r="964" ht="15.75" customHeight="1">
      <c r="B964" s="47"/>
    </row>
    <row r="965" ht="15.75" customHeight="1">
      <c r="B965" s="47"/>
    </row>
    <row r="966" ht="15.75" customHeight="1">
      <c r="B966" s="47"/>
    </row>
    <row r="967" ht="15.75" customHeight="1">
      <c r="B967" s="47"/>
    </row>
    <row r="968" ht="15.75" customHeight="1">
      <c r="B968" s="47"/>
    </row>
    <row r="969" ht="15.75" customHeight="1">
      <c r="B969" s="47"/>
    </row>
    <row r="970" ht="15.75" customHeight="1">
      <c r="B970" s="47"/>
    </row>
    <row r="971" ht="15.75" customHeight="1">
      <c r="B971" s="47"/>
    </row>
    <row r="972" ht="15.75" customHeight="1">
      <c r="B972" s="47"/>
    </row>
    <row r="973" ht="15.75" customHeight="1">
      <c r="B973" s="47"/>
    </row>
    <row r="974" ht="15.75" customHeight="1">
      <c r="B974" s="47"/>
    </row>
    <row r="975" ht="15.75" customHeight="1">
      <c r="B975" s="47"/>
    </row>
    <row r="976" ht="15.75" customHeight="1">
      <c r="B976" s="47"/>
    </row>
    <row r="977" ht="15.75" customHeight="1">
      <c r="B977" s="47"/>
    </row>
    <row r="978" ht="15.75" customHeight="1">
      <c r="B978" s="47"/>
    </row>
    <row r="979" ht="15.75" customHeight="1">
      <c r="B979" s="47"/>
    </row>
    <row r="980" ht="15.75" customHeight="1">
      <c r="B980" s="47"/>
    </row>
    <row r="981" ht="15.75" customHeight="1">
      <c r="B981" s="47"/>
    </row>
    <row r="982" ht="15.75" customHeight="1">
      <c r="B982" s="47"/>
    </row>
    <row r="983" ht="15.75" customHeight="1">
      <c r="B983" s="47"/>
    </row>
    <row r="984" ht="15.75" customHeight="1">
      <c r="B984" s="47"/>
    </row>
    <row r="985" ht="15.75" customHeight="1">
      <c r="B985" s="47"/>
    </row>
    <row r="986" ht="15.75" customHeight="1">
      <c r="B986" s="47"/>
    </row>
    <row r="987" ht="15.75" customHeight="1">
      <c r="B987" s="47"/>
    </row>
    <row r="988" ht="15.75" customHeight="1">
      <c r="B988" s="47"/>
    </row>
    <row r="989" ht="15.75" customHeight="1">
      <c r="B989" s="47"/>
    </row>
    <row r="990" ht="15.75" customHeight="1">
      <c r="B990" s="47"/>
    </row>
    <row r="991" ht="15.75" customHeight="1">
      <c r="B991" s="47"/>
    </row>
    <row r="992" ht="15.75" customHeight="1">
      <c r="B992" s="47"/>
    </row>
    <row r="993" ht="15.75" customHeight="1">
      <c r="B993" s="47"/>
    </row>
    <row r="994" ht="15.75" customHeight="1">
      <c r="B994" s="47"/>
    </row>
  </sheetData>
  <mergeCells count="1">
    <mergeCell ref="A30:B30"/>
  </mergeCells>
  <hyperlinks>
    <hyperlink r:id="rId1" ref="A30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5.63"/>
    <col customWidth="1" min="2" max="2" width="30.88"/>
  </cols>
  <sheetData>
    <row r="1">
      <c r="A1" s="17" t="s">
        <v>28</v>
      </c>
      <c r="B1" s="48" t="s">
        <v>29</v>
      </c>
    </row>
    <row r="2">
      <c r="A2" s="19" t="s">
        <v>39</v>
      </c>
      <c r="B2" s="43">
        <v>9900.0</v>
      </c>
    </row>
    <row r="3">
      <c r="A3" s="19" t="s">
        <v>240</v>
      </c>
      <c r="B3" s="43">
        <v>494.71</v>
      </c>
    </row>
    <row r="4">
      <c r="A4" s="19" t="s">
        <v>241</v>
      </c>
      <c r="B4" s="43">
        <v>0.0</v>
      </c>
    </row>
    <row r="5">
      <c r="A5" s="19" t="s">
        <v>242</v>
      </c>
      <c r="B5" s="43">
        <v>2711.7</v>
      </c>
    </row>
    <row r="6">
      <c r="A6" s="19" t="s">
        <v>243</v>
      </c>
      <c r="B6" s="43">
        <v>0.0</v>
      </c>
    </row>
    <row r="7">
      <c r="A7" s="19" t="s">
        <v>244</v>
      </c>
      <c r="B7" s="43">
        <v>750.0</v>
      </c>
    </row>
    <row r="8">
      <c r="A8" s="19" t="s">
        <v>91</v>
      </c>
      <c r="B8" s="43">
        <v>11063.0</v>
      </c>
    </row>
    <row r="9">
      <c r="A9" s="19" t="s">
        <v>79</v>
      </c>
      <c r="B9" s="43">
        <v>57130.48</v>
      </c>
    </row>
    <row r="10">
      <c r="A10" s="19" t="s">
        <v>80</v>
      </c>
      <c r="B10" s="43">
        <v>13345.66</v>
      </c>
    </row>
    <row r="11">
      <c r="A11" s="19" t="s">
        <v>170</v>
      </c>
      <c r="B11" s="43">
        <v>219017.39</v>
      </c>
    </row>
    <row r="12">
      <c r="A12" s="19" t="s">
        <v>102</v>
      </c>
      <c r="B12" s="43">
        <v>1200.0</v>
      </c>
    </row>
    <row r="13">
      <c r="A13" s="19" t="s">
        <v>245</v>
      </c>
      <c r="B13" s="43">
        <v>23125.0</v>
      </c>
    </row>
    <row r="14">
      <c r="A14" s="19" t="s">
        <v>246</v>
      </c>
      <c r="B14" s="43">
        <v>159434.08</v>
      </c>
    </row>
    <row r="15">
      <c r="A15" s="19" t="s">
        <v>247</v>
      </c>
      <c r="B15" s="43">
        <v>156340.61</v>
      </c>
    </row>
    <row r="16">
      <c r="A16" s="19" t="s">
        <v>248</v>
      </c>
      <c r="B16" s="43">
        <v>47012.52</v>
      </c>
    </row>
    <row r="17">
      <c r="A17" s="19" t="s">
        <v>249</v>
      </c>
      <c r="B17" s="43">
        <v>45099.64</v>
      </c>
    </row>
    <row r="18">
      <c r="A18" s="19" t="s">
        <v>250</v>
      </c>
      <c r="B18" s="43">
        <v>0.0</v>
      </c>
    </row>
    <row r="19">
      <c r="A19" s="19" t="s">
        <v>251</v>
      </c>
      <c r="B19" s="43">
        <v>182470.79</v>
      </c>
    </row>
    <row r="20">
      <c r="A20" s="19" t="s">
        <v>252</v>
      </c>
      <c r="B20" s="43">
        <v>858703.15</v>
      </c>
    </row>
    <row r="21">
      <c r="A21" s="19" t="s">
        <v>253</v>
      </c>
      <c r="B21" s="43">
        <v>389747.17</v>
      </c>
    </row>
    <row r="22">
      <c r="A22" s="19" t="s">
        <v>254</v>
      </c>
      <c r="B22" s="43">
        <v>557.0</v>
      </c>
    </row>
    <row r="23">
      <c r="A23" s="19" t="s">
        <v>255</v>
      </c>
      <c r="B23" s="43">
        <v>11830.0</v>
      </c>
    </row>
    <row r="24">
      <c r="A24" s="19" t="s">
        <v>256</v>
      </c>
      <c r="B24" s="43">
        <v>9737.8</v>
      </c>
    </row>
    <row r="25">
      <c r="A25" s="19" t="s">
        <v>257</v>
      </c>
      <c r="B25" s="43">
        <v>13973.3</v>
      </c>
    </row>
    <row r="26">
      <c r="A26" s="19" t="s">
        <v>89</v>
      </c>
      <c r="B26" s="43">
        <v>3740.79</v>
      </c>
    </row>
    <row r="27">
      <c r="A27" s="19" t="s">
        <v>258</v>
      </c>
      <c r="B27" s="43">
        <v>18770.22</v>
      </c>
    </row>
    <row r="28">
      <c r="A28" s="19" t="s">
        <v>259</v>
      </c>
      <c r="B28" s="43">
        <v>327215.65</v>
      </c>
    </row>
    <row r="29">
      <c r="A29" s="19" t="s">
        <v>260</v>
      </c>
      <c r="B29" s="43">
        <v>4185.0</v>
      </c>
    </row>
    <row r="30">
      <c r="A30" s="19" t="s">
        <v>261</v>
      </c>
      <c r="B30" s="43">
        <v>0.0</v>
      </c>
    </row>
    <row r="31">
      <c r="A31" s="19" t="s">
        <v>262</v>
      </c>
      <c r="B31" s="43">
        <v>37431.0</v>
      </c>
    </row>
    <row r="32">
      <c r="A32" s="21" t="s">
        <v>238</v>
      </c>
      <c r="B32" s="44">
        <f>SUM(B2:B31)</f>
        <v>2604986.66</v>
      </c>
    </row>
    <row r="33">
      <c r="A33" s="49"/>
      <c r="B33" s="49"/>
    </row>
    <row r="34">
      <c r="A34" s="50" t="s">
        <v>263</v>
      </c>
    </row>
    <row r="35">
      <c r="A35" s="1" t="s">
        <v>52</v>
      </c>
      <c r="B35" s="47"/>
    </row>
    <row r="36">
      <c r="B36" s="47"/>
    </row>
    <row r="37">
      <c r="B37" s="47"/>
    </row>
    <row r="38">
      <c r="B38" s="47"/>
    </row>
    <row r="39">
      <c r="B39" s="47"/>
    </row>
    <row r="40">
      <c r="B40" s="47"/>
    </row>
    <row r="41">
      <c r="B41" s="47"/>
    </row>
    <row r="42">
      <c r="B42" s="47"/>
    </row>
    <row r="43">
      <c r="B43" s="47"/>
    </row>
    <row r="44">
      <c r="B44" s="47"/>
    </row>
    <row r="45">
      <c r="B45" s="47"/>
    </row>
    <row r="46">
      <c r="B46" s="47"/>
    </row>
    <row r="47">
      <c r="B47" s="47"/>
    </row>
    <row r="48">
      <c r="B48" s="47"/>
    </row>
    <row r="49">
      <c r="B49" s="47"/>
    </row>
    <row r="50">
      <c r="B50" s="47"/>
    </row>
    <row r="51">
      <c r="B51" s="47"/>
    </row>
    <row r="52">
      <c r="B52" s="47"/>
    </row>
    <row r="53">
      <c r="B53" s="47"/>
    </row>
    <row r="54">
      <c r="B54" s="47"/>
    </row>
    <row r="55">
      <c r="B55" s="47"/>
    </row>
    <row r="56">
      <c r="B56" s="47"/>
    </row>
    <row r="57">
      <c r="B57" s="47"/>
    </row>
    <row r="58">
      <c r="B58" s="47"/>
    </row>
    <row r="59">
      <c r="B59" s="47"/>
    </row>
    <row r="60">
      <c r="B60" s="47"/>
    </row>
    <row r="61">
      <c r="B61" s="47"/>
    </row>
    <row r="62">
      <c r="B62" s="47"/>
    </row>
    <row r="63">
      <c r="B63" s="47"/>
    </row>
    <row r="64">
      <c r="B64" s="47"/>
    </row>
    <row r="65">
      <c r="B65" s="47"/>
    </row>
    <row r="66">
      <c r="B66" s="47"/>
    </row>
    <row r="67">
      <c r="B67" s="47"/>
    </row>
    <row r="68">
      <c r="B68" s="47"/>
    </row>
    <row r="69">
      <c r="B69" s="47"/>
    </row>
    <row r="70">
      <c r="B70" s="47"/>
    </row>
    <row r="71">
      <c r="B71" s="47"/>
    </row>
    <row r="72">
      <c r="B72" s="47"/>
    </row>
    <row r="73">
      <c r="B73" s="47"/>
    </row>
    <row r="74">
      <c r="B74" s="47"/>
    </row>
    <row r="75">
      <c r="B75" s="47"/>
    </row>
    <row r="76">
      <c r="B76" s="47"/>
    </row>
    <row r="77">
      <c r="B77" s="47"/>
    </row>
    <row r="78">
      <c r="B78" s="47"/>
    </row>
    <row r="79">
      <c r="B79" s="47"/>
    </row>
    <row r="80">
      <c r="B80" s="47"/>
    </row>
    <row r="81">
      <c r="B81" s="47"/>
    </row>
    <row r="82">
      <c r="B82" s="47"/>
    </row>
    <row r="83">
      <c r="B83" s="47"/>
    </row>
    <row r="84">
      <c r="B84" s="47"/>
    </row>
    <row r="85">
      <c r="B85" s="47"/>
    </row>
    <row r="86">
      <c r="B86" s="47"/>
    </row>
    <row r="87">
      <c r="B87" s="47"/>
    </row>
    <row r="88">
      <c r="B88" s="47"/>
    </row>
    <row r="89">
      <c r="B89" s="47"/>
    </row>
    <row r="90">
      <c r="B90" s="47"/>
    </row>
    <row r="91">
      <c r="B91" s="47"/>
    </row>
    <row r="92">
      <c r="B92" s="47"/>
    </row>
    <row r="93">
      <c r="B93" s="47"/>
    </row>
    <row r="94">
      <c r="B94" s="47"/>
    </row>
    <row r="95">
      <c r="B95" s="47"/>
    </row>
    <row r="96">
      <c r="B96" s="47"/>
    </row>
    <row r="97">
      <c r="B97" s="47"/>
    </row>
    <row r="98">
      <c r="B98" s="47"/>
    </row>
    <row r="99">
      <c r="B99" s="47"/>
    </row>
    <row r="100">
      <c r="B100" s="47"/>
    </row>
    <row r="101">
      <c r="B101" s="47"/>
    </row>
    <row r="102">
      <c r="B102" s="47"/>
    </row>
    <row r="103">
      <c r="B103" s="47"/>
    </row>
    <row r="104">
      <c r="B104" s="47"/>
    </row>
    <row r="105">
      <c r="B105" s="47"/>
    </row>
    <row r="106">
      <c r="B106" s="47"/>
    </row>
    <row r="107">
      <c r="B107" s="47"/>
    </row>
    <row r="108">
      <c r="B108" s="47"/>
    </row>
    <row r="109">
      <c r="B109" s="47"/>
    </row>
    <row r="110">
      <c r="B110" s="47"/>
    </row>
    <row r="111">
      <c r="B111" s="47"/>
    </row>
    <row r="112">
      <c r="B112" s="47"/>
    </row>
    <row r="113">
      <c r="B113" s="47"/>
    </row>
    <row r="114">
      <c r="B114" s="47"/>
    </row>
    <row r="115">
      <c r="B115" s="47"/>
    </row>
    <row r="116">
      <c r="B116" s="47"/>
    </row>
    <row r="117">
      <c r="B117" s="47"/>
    </row>
    <row r="118">
      <c r="B118" s="47"/>
    </row>
    <row r="119">
      <c r="B119" s="47"/>
    </row>
    <row r="120">
      <c r="B120" s="47"/>
    </row>
    <row r="121">
      <c r="B121" s="47"/>
    </row>
    <row r="122">
      <c r="B122" s="47"/>
    </row>
    <row r="123">
      <c r="B123" s="47"/>
    </row>
    <row r="124">
      <c r="B124" s="47"/>
    </row>
    <row r="125">
      <c r="B125" s="47"/>
    </row>
    <row r="126">
      <c r="B126" s="47"/>
    </row>
    <row r="127">
      <c r="B127" s="47"/>
    </row>
    <row r="128">
      <c r="B128" s="47"/>
    </row>
    <row r="129">
      <c r="B129" s="47"/>
    </row>
    <row r="130">
      <c r="B130" s="47"/>
    </row>
    <row r="131">
      <c r="B131" s="47"/>
    </row>
    <row r="132">
      <c r="B132" s="47"/>
    </row>
    <row r="133">
      <c r="B133" s="47"/>
    </row>
    <row r="134">
      <c r="B134" s="47"/>
    </row>
    <row r="135">
      <c r="B135" s="47"/>
    </row>
    <row r="136">
      <c r="B136" s="47"/>
    </row>
    <row r="137">
      <c r="B137" s="47"/>
    </row>
    <row r="138">
      <c r="B138" s="47"/>
    </row>
    <row r="139">
      <c r="B139" s="47"/>
    </row>
    <row r="140">
      <c r="B140" s="47"/>
    </row>
    <row r="141">
      <c r="B141" s="47"/>
    </row>
    <row r="142">
      <c r="B142" s="47"/>
    </row>
    <row r="143">
      <c r="B143" s="47"/>
    </row>
    <row r="144">
      <c r="B144" s="47"/>
    </row>
    <row r="145">
      <c r="B145" s="47"/>
    </row>
    <row r="146">
      <c r="B146" s="47"/>
    </row>
    <row r="147">
      <c r="B147" s="47"/>
    </row>
    <row r="148">
      <c r="B148" s="47"/>
    </row>
    <row r="149">
      <c r="B149" s="47"/>
    </row>
    <row r="150">
      <c r="B150" s="47"/>
    </row>
    <row r="151">
      <c r="B151" s="47"/>
    </row>
    <row r="152">
      <c r="B152" s="47"/>
    </row>
    <row r="153">
      <c r="B153" s="47"/>
    </row>
    <row r="154">
      <c r="B154" s="47"/>
    </row>
    <row r="155">
      <c r="B155" s="47"/>
    </row>
    <row r="156">
      <c r="B156" s="47"/>
    </row>
    <row r="157">
      <c r="B157" s="47"/>
    </row>
    <row r="158">
      <c r="B158" s="47"/>
    </row>
    <row r="159">
      <c r="B159" s="47"/>
    </row>
    <row r="160">
      <c r="B160" s="47"/>
    </row>
    <row r="161">
      <c r="B161" s="47"/>
    </row>
    <row r="162">
      <c r="B162" s="47"/>
    </row>
    <row r="163">
      <c r="B163" s="47"/>
    </row>
    <row r="164">
      <c r="B164" s="47"/>
    </row>
    <row r="165">
      <c r="B165" s="47"/>
    </row>
    <row r="166">
      <c r="B166" s="47"/>
    </row>
    <row r="167">
      <c r="B167" s="47"/>
    </row>
    <row r="168">
      <c r="B168" s="47"/>
    </row>
    <row r="169">
      <c r="B169" s="47"/>
    </row>
    <row r="170">
      <c r="B170" s="47"/>
    </row>
    <row r="171">
      <c r="B171" s="47"/>
    </row>
    <row r="172">
      <c r="B172" s="47"/>
    </row>
    <row r="173">
      <c r="B173" s="47"/>
    </row>
    <row r="174">
      <c r="B174" s="47"/>
    </row>
    <row r="175">
      <c r="B175" s="47"/>
    </row>
    <row r="176">
      <c r="B176" s="47"/>
    </row>
    <row r="177">
      <c r="B177" s="47"/>
    </row>
    <row r="178">
      <c r="B178" s="47"/>
    </row>
    <row r="179">
      <c r="B179" s="47"/>
    </row>
    <row r="180">
      <c r="B180" s="47"/>
    </row>
    <row r="181">
      <c r="B181" s="47"/>
    </row>
    <row r="182">
      <c r="B182" s="47"/>
    </row>
    <row r="183">
      <c r="B183" s="47"/>
    </row>
    <row r="184">
      <c r="B184" s="47"/>
    </row>
    <row r="185">
      <c r="B185" s="47"/>
    </row>
    <row r="186">
      <c r="B186" s="47"/>
    </row>
    <row r="187">
      <c r="B187" s="47"/>
    </row>
    <row r="188">
      <c r="B188" s="47"/>
    </row>
    <row r="189">
      <c r="B189" s="47"/>
    </row>
    <row r="190">
      <c r="B190" s="47"/>
    </row>
    <row r="191">
      <c r="B191" s="47"/>
    </row>
    <row r="192">
      <c r="B192" s="47"/>
    </row>
    <row r="193">
      <c r="B193" s="47"/>
    </row>
    <row r="194">
      <c r="B194" s="47"/>
    </row>
    <row r="195">
      <c r="B195" s="47"/>
    </row>
    <row r="196">
      <c r="B196" s="47"/>
    </row>
    <row r="197">
      <c r="B197" s="47"/>
    </row>
    <row r="198">
      <c r="B198" s="47"/>
    </row>
    <row r="199">
      <c r="B199" s="47"/>
    </row>
    <row r="200">
      <c r="B200" s="47"/>
    </row>
    <row r="201">
      <c r="B201" s="47"/>
    </row>
    <row r="202">
      <c r="B202" s="47"/>
    </row>
    <row r="203">
      <c r="B203" s="47"/>
    </row>
    <row r="204">
      <c r="B204" s="47"/>
    </row>
    <row r="205">
      <c r="B205" s="47"/>
    </row>
    <row r="206">
      <c r="B206" s="47"/>
    </row>
    <row r="207">
      <c r="B207" s="47"/>
    </row>
    <row r="208">
      <c r="B208" s="47"/>
    </row>
    <row r="209">
      <c r="B209" s="47"/>
    </row>
    <row r="210">
      <c r="B210" s="47"/>
    </row>
    <row r="211">
      <c r="B211" s="47"/>
    </row>
    <row r="212">
      <c r="B212" s="47"/>
    </row>
    <row r="213">
      <c r="B213" s="47"/>
    </row>
    <row r="214">
      <c r="B214" s="47"/>
    </row>
    <row r="215">
      <c r="B215" s="47"/>
    </row>
    <row r="216">
      <c r="B216" s="47"/>
    </row>
    <row r="217">
      <c r="B217" s="47"/>
    </row>
    <row r="218">
      <c r="B218" s="47"/>
    </row>
    <row r="219">
      <c r="B219" s="47"/>
    </row>
    <row r="220">
      <c r="B220" s="47"/>
    </row>
    <row r="221">
      <c r="B221" s="47"/>
    </row>
    <row r="222">
      <c r="B222" s="47"/>
    </row>
    <row r="223">
      <c r="B223" s="47"/>
    </row>
    <row r="224">
      <c r="B224" s="47"/>
    </row>
    <row r="225">
      <c r="B225" s="47"/>
    </row>
    <row r="226">
      <c r="B226" s="47"/>
    </row>
    <row r="227">
      <c r="B227" s="47"/>
    </row>
    <row r="228">
      <c r="B228" s="47"/>
    </row>
    <row r="229">
      <c r="B229" s="47"/>
    </row>
    <row r="230">
      <c r="B230" s="47"/>
    </row>
    <row r="231">
      <c r="B231" s="47"/>
    </row>
    <row r="232">
      <c r="B232" s="47"/>
    </row>
    <row r="233">
      <c r="B233" s="47"/>
    </row>
    <row r="234">
      <c r="B234" s="47"/>
    </row>
    <row r="235">
      <c r="B235" s="47"/>
    </row>
    <row r="236">
      <c r="B236" s="47"/>
    </row>
    <row r="237">
      <c r="B237" s="47"/>
    </row>
    <row r="238">
      <c r="B238" s="47"/>
    </row>
    <row r="239">
      <c r="B239" s="47"/>
    </row>
    <row r="240">
      <c r="B240" s="47"/>
    </row>
    <row r="241">
      <c r="B241" s="47"/>
    </row>
    <row r="242">
      <c r="B242" s="47"/>
    </row>
    <row r="243">
      <c r="B243" s="47"/>
    </row>
    <row r="244">
      <c r="B244" s="47"/>
    </row>
    <row r="245">
      <c r="B245" s="47"/>
    </row>
    <row r="246">
      <c r="B246" s="47"/>
    </row>
    <row r="247">
      <c r="B247" s="47"/>
    </row>
    <row r="248">
      <c r="B248" s="47"/>
    </row>
    <row r="249">
      <c r="B249" s="47"/>
    </row>
    <row r="250">
      <c r="B250" s="47"/>
    </row>
    <row r="251">
      <c r="B251" s="47"/>
    </row>
    <row r="252">
      <c r="B252" s="47"/>
    </row>
    <row r="253">
      <c r="B253" s="47"/>
    </row>
    <row r="254">
      <c r="B254" s="47"/>
    </row>
    <row r="255">
      <c r="B255" s="47"/>
    </row>
    <row r="256">
      <c r="B256" s="47"/>
    </row>
    <row r="257">
      <c r="B257" s="47"/>
    </row>
    <row r="258">
      <c r="B258" s="47"/>
    </row>
    <row r="259">
      <c r="B259" s="47"/>
    </row>
    <row r="260">
      <c r="B260" s="47"/>
    </row>
    <row r="261">
      <c r="B261" s="47"/>
    </row>
    <row r="262">
      <c r="B262" s="47"/>
    </row>
    <row r="263">
      <c r="B263" s="47"/>
    </row>
    <row r="264">
      <c r="B264" s="47"/>
    </row>
    <row r="265">
      <c r="B265" s="47"/>
    </row>
    <row r="266">
      <c r="B266" s="47"/>
    </row>
    <row r="267">
      <c r="B267" s="47"/>
    </row>
    <row r="268">
      <c r="B268" s="47"/>
    </row>
    <row r="269">
      <c r="B269" s="47"/>
    </row>
    <row r="270">
      <c r="B270" s="47"/>
    </row>
    <row r="271">
      <c r="B271" s="47"/>
    </row>
    <row r="272">
      <c r="B272" s="47"/>
    </row>
    <row r="273">
      <c r="B273" s="47"/>
    </row>
    <row r="274">
      <c r="B274" s="47"/>
    </row>
    <row r="275">
      <c r="B275" s="47"/>
    </row>
    <row r="276">
      <c r="B276" s="47"/>
    </row>
    <row r="277">
      <c r="B277" s="47"/>
    </row>
    <row r="278">
      <c r="B278" s="47"/>
    </row>
    <row r="279">
      <c r="B279" s="47"/>
    </row>
    <row r="280">
      <c r="B280" s="47"/>
    </row>
    <row r="281">
      <c r="B281" s="47"/>
    </row>
    <row r="282">
      <c r="B282" s="47"/>
    </row>
    <row r="283">
      <c r="B283" s="47"/>
    </row>
    <row r="284">
      <c r="B284" s="47"/>
    </row>
    <row r="285">
      <c r="B285" s="47"/>
    </row>
    <row r="286">
      <c r="B286" s="47"/>
    </row>
    <row r="287">
      <c r="B287" s="47"/>
    </row>
    <row r="288">
      <c r="B288" s="47"/>
    </row>
    <row r="289">
      <c r="B289" s="47"/>
    </row>
    <row r="290">
      <c r="B290" s="47"/>
    </row>
    <row r="291">
      <c r="B291" s="47"/>
    </row>
    <row r="292">
      <c r="B292" s="47"/>
    </row>
    <row r="293">
      <c r="B293" s="47"/>
    </row>
    <row r="294">
      <c r="B294" s="47"/>
    </row>
    <row r="295">
      <c r="B295" s="47"/>
    </row>
    <row r="296">
      <c r="B296" s="47"/>
    </row>
    <row r="297">
      <c r="B297" s="47"/>
    </row>
    <row r="298">
      <c r="B298" s="47"/>
    </row>
    <row r="299">
      <c r="B299" s="47"/>
    </row>
    <row r="300">
      <c r="B300" s="47"/>
    </row>
    <row r="301">
      <c r="B301" s="47"/>
    </row>
    <row r="302">
      <c r="B302" s="47"/>
    </row>
    <row r="303">
      <c r="B303" s="47"/>
    </row>
    <row r="304">
      <c r="B304" s="47"/>
    </row>
    <row r="305">
      <c r="B305" s="47"/>
    </row>
    <row r="306">
      <c r="B306" s="47"/>
    </row>
    <row r="307">
      <c r="B307" s="47"/>
    </row>
    <row r="308">
      <c r="B308" s="47"/>
    </row>
    <row r="309">
      <c r="B309" s="47"/>
    </row>
    <row r="310">
      <c r="B310" s="47"/>
    </row>
    <row r="311">
      <c r="B311" s="47"/>
    </row>
    <row r="312">
      <c r="B312" s="47"/>
    </row>
    <row r="313">
      <c r="B313" s="47"/>
    </row>
    <row r="314">
      <c r="B314" s="47"/>
    </row>
    <row r="315">
      <c r="B315" s="47"/>
    </row>
    <row r="316">
      <c r="B316" s="47"/>
    </row>
    <row r="317">
      <c r="B317" s="47"/>
    </row>
    <row r="318">
      <c r="B318" s="47"/>
    </row>
    <row r="319">
      <c r="B319" s="47"/>
    </row>
    <row r="320">
      <c r="B320" s="47"/>
    </row>
    <row r="321">
      <c r="B321" s="47"/>
    </row>
    <row r="322">
      <c r="B322" s="47"/>
    </row>
    <row r="323">
      <c r="B323" s="47"/>
    </row>
    <row r="324">
      <c r="B324" s="47"/>
    </row>
    <row r="325">
      <c r="B325" s="47"/>
    </row>
    <row r="326">
      <c r="B326" s="47"/>
    </row>
    <row r="327">
      <c r="B327" s="47"/>
    </row>
    <row r="328">
      <c r="B328" s="47"/>
    </row>
    <row r="329">
      <c r="B329" s="47"/>
    </row>
    <row r="330">
      <c r="B330" s="47"/>
    </row>
    <row r="331">
      <c r="B331" s="47"/>
    </row>
    <row r="332">
      <c r="B332" s="47"/>
    </row>
    <row r="333">
      <c r="B333" s="47"/>
    </row>
    <row r="334">
      <c r="B334" s="47"/>
    </row>
    <row r="335">
      <c r="B335" s="47"/>
    </row>
    <row r="336">
      <c r="B336" s="47"/>
    </row>
    <row r="337">
      <c r="B337" s="47"/>
    </row>
    <row r="338">
      <c r="B338" s="47"/>
    </row>
    <row r="339">
      <c r="B339" s="47"/>
    </row>
    <row r="340">
      <c r="B340" s="47"/>
    </row>
    <row r="341">
      <c r="B341" s="47"/>
    </row>
    <row r="342">
      <c r="B342" s="47"/>
    </row>
    <row r="343">
      <c r="B343" s="47"/>
    </row>
    <row r="344">
      <c r="B344" s="47"/>
    </row>
    <row r="345">
      <c r="B345" s="47"/>
    </row>
    <row r="346">
      <c r="B346" s="47"/>
    </row>
    <row r="347">
      <c r="B347" s="47"/>
    </row>
    <row r="348">
      <c r="B348" s="47"/>
    </row>
    <row r="349">
      <c r="B349" s="47"/>
    </row>
    <row r="350">
      <c r="B350" s="47"/>
    </row>
    <row r="351">
      <c r="B351" s="47"/>
    </row>
    <row r="352">
      <c r="B352" s="47"/>
    </row>
    <row r="353">
      <c r="B353" s="47"/>
    </row>
    <row r="354">
      <c r="B354" s="47"/>
    </row>
    <row r="355">
      <c r="B355" s="47"/>
    </row>
    <row r="356">
      <c r="B356" s="47"/>
    </row>
    <row r="357">
      <c r="B357" s="47"/>
    </row>
    <row r="358">
      <c r="B358" s="47"/>
    </row>
    <row r="359">
      <c r="B359" s="47"/>
    </row>
    <row r="360">
      <c r="B360" s="47"/>
    </row>
    <row r="361">
      <c r="B361" s="47"/>
    </row>
    <row r="362">
      <c r="B362" s="47"/>
    </row>
    <row r="363">
      <c r="B363" s="47"/>
    </row>
    <row r="364">
      <c r="B364" s="47"/>
    </row>
    <row r="365">
      <c r="B365" s="47"/>
    </row>
    <row r="366">
      <c r="B366" s="47"/>
    </row>
    <row r="367">
      <c r="B367" s="47"/>
    </row>
    <row r="368">
      <c r="B368" s="47"/>
    </row>
    <row r="369">
      <c r="B369" s="47"/>
    </row>
    <row r="370">
      <c r="B370" s="47"/>
    </row>
    <row r="371">
      <c r="B371" s="47"/>
    </row>
    <row r="372">
      <c r="B372" s="47"/>
    </row>
    <row r="373">
      <c r="B373" s="47"/>
    </row>
    <row r="374">
      <c r="B374" s="47"/>
    </row>
    <row r="375">
      <c r="B375" s="47"/>
    </row>
    <row r="376">
      <c r="B376" s="47"/>
    </row>
    <row r="377">
      <c r="B377" s="47"/>
    </row>
    <row r="378">
      <c r="B378" s="47"/>
    </row>
    <row r="379">
      <c r="B379" s="47"/>
    </row>
    <row r="380">
      <c r="B380" s="47"/>
    </row>
    <row r="381">
      <c r="B381" s="47"/>
    </row>
    <row r="382">
      <c r="B382" s="47"/>
    </row>
    <row r="383">
      <c r="B383" s="47"/>
    </row>
    <row r="384">
      <c r="B384" s="47"/>
    </row>
    <row r="385">
      <c r="B385" s="47"/>
    </row>
    <row r="386">
      <c r="B386" s="47"/>
    </row>
    <row r="387">
      <c r="B387" s="47"/>
    </row>
    <row r="388">
      <c r="B388" s="47"/>
    </row>
    <row r="389">
      <c r="B389" s="47"/>
    </row>
    <row r="390">
      <c r="B390" s="47"/>
    </row>
    <row r="391">
      <c r="B391" s="47"/>
    </row>
    <row r="392">
      <c r="B392" s="47"/>
    </row>
    <row r="393">
      <c r="B393" s="47"/>
    </row>
    <row r="394">
      <c r="B394" s="47"/>
    </row>
    <row r="395">
      <c r="B395" s="47"/>
    </row>
    <row r="396">
      <c r="B396" s="47"/>
    </row>
    <row r="397">
      <c r="B397" s="47"/>
    </row>
    <row r="398">
      <c r="B398" s="47"/>
    </row>
    <row r="399">
      <c r="B399" s="47"/>
    </row>
    <row r="400">
      <c r="B400" s="47"/>
    </row>
    <row r="401">
      <c r="B401" s="47"/>
    </row>
    <row r="402">
      <c r="B402" s="47"/>
    </row>
    <row r="403">
      <c r="B403" s="47"/>
    </row>
    <row r="404">
      <c r="B404" s="47"/>
    </row>
    <row r="405">
      <c r="B405" s="47"/>
    </row>
    <row r="406">
      <c r="B406" s="47"/>
    </row>
    <row r="407">
      <c r="B407" s="47"/>
    </row>
    <row r="408">
      <c r="B408" s="47"/>
    </row>
    <row r="409">
      <c r="B409" s="47"/>
    </row>
    <row r="410">
      <c r="B410" s="47"/>
    </row>
    <row r="411">
      <c r="B411" s="47"/>
    </row>
    <row r="412">
      <c r="B412" s="47"/>
    </row>
    <row r="413">
      <c r="B413" s="47"/>
    </row>
    <row r="414">
      <c r="B414" s="47"/>
    </row>
    <row r="415">
      <c r="B415" s="47"/>
    </row>
    <row r="416">
      <c r="B416" s="47"/>
    </row>
    <row r="417">
      <c r="B417" s="47"/>
    </row>
    <row r="418">
      <c r="B418" s="47"/>
    </row>
    <row r="419">
      <c r="B419" s="47"/>
    </row>
    <row r="420">
      <c r="B420" s="47"/>
    </row>
    <row r="421">
      <c r="B421" s="47"/>
    </row>
    <row r="422">
      <c r="B422" s="47"/>
    </row>
    <row r="423">
      <c r="B423" s="47"/>
    </row>
    <row r="424">
      <c r="B424" s="47"/>
    </row>
    <row r="425">
      <c r="B425" s="47"/>
    </row>
    <row r="426">
      <c r="B426" s="47"/>
    </row>
    <row r="427">
      <c r="B427" s="47"/>
    </row>
    <row r="428">
      <c r="B428" s="47"/>
    </row>
    <row r="429">
      <c r="B429" s="47"/>
    </row>
    <row r="430">
      <c r="B430" s="47"/>
    </row>
    <row r="431">
      <c r="B431" s="47"/>
    </row>
    <row r="432">
      <c r="B432" s="47"/>
    </row>
    <row r="433">
      <c r="B433" s="47"/>
    </row>
    <row r="434">
      <c r="B434" s="47"/>
    </row>
    <row r="435">
      <c r="B435" s="47"/>
    </row>
    <row r="436">
      <c r="B436" s="47"/>
    </row>
    <row r="437">
      <c r="B437" s="47"/>
    </row>
    <row r="438">
      <c r="B438" s="47"/>
    </row>
    <row r="439">
      <c r="B439" s="47"/>
    </row>
    <row r="440">
      <c r="B440" s="47"/>
    </row>
    <row r="441">
      <c r="B441" s="47"/>
    </row>
    <row r="442">
      <c r="B442" s="47"/>
    </row>
    <row r="443">
      <c r="B443" s="47"/>
    </row>
    <row r="444">
      <c r="B444" s="47"/>
    </row>
    <row r="445">
      <c r="B445" s="47"/>
    </row>
    <row r="446">
      <c r="B446" s="47"/>
    </row>
    <row r="447">
      <c r="B447" s="47"/>
    </row>
    <row r="448">
      <c r="B448" s="47"/>
    </row>
    <row r="449">
      <c r="B449" s="47"/>
    </row>
    <row r="450">
      <c r="B450" s="47"/>
    </row>
    <row r="451">
      <c r="B451" s="47"/>
    </row>
    <row r="452">
      <c r="B452" s="47"/>
    </row>
    <row r="453">
      <c r="B453" s="47"/>
    </row>
    <row r="454">
      <c r="B454" s="47"/>
    </row>
    <row r="455">
      <c r="B455" s="47"/>
    </row>
    <row r="456">
      <c r="B456" s="47"/>
    </row>
    <row r="457">
      <c r="B457" s="47"/>
    </row>
    <row r="458">
      <c r="B458" s="47"/>
    </row>
    <row r="459">
      <c r="B459" s="47"/>
    </row>
    <row r="460">
      <c r="B460" s="47"/>
    </row>
    <row r="461">
      <c r="B461" s="47"/>
    </row>
    <row r="462">
      <c r="B462" s="47"/>
    </row>
    <row r="463">
      <c r="B463" s="47"/>
    </row>
    <row r="464">
      <c r="B464" s="47"/>
    </row>
    <row r="465">
      <c r="B465" s="47"/>
    </row>
    <row r="466">
      <c r="B466" s="47"/>
    </row>
    <row r="467">
      <c r="B467" s="47"/>
    </row>
    <row r="468">
      <c r="B468" s="47"/>
    </row>
    <row r="469">
      <c r="B469" s="47"/>
    </row>
    <row r="470">
      <c r="B470" s="47"/>
    </row>
    <row r="471">
      <c r="B471" s="47"/>
    </row>
    <row r="472">
      <c r="B472" s="47"/>
    </row>
    <row r="473">
      <c r="B473" s="47"/>
    </row>
    <row r="474">
      <c r="B474" s="47"/>
    </row>
    <row r="475">
      <c r="B475" s="47"/>
    </row>
    <row r="476">
      <c r="B476" s="47"/>
    </row>
    <row r="477">
      <c r="B477" s="47"/>
    </row>
    <row r="478">
      <c r="B478" s="47"/>
    </row>
    <row r="479">
      <c r="B479" s="47"/>
    </row>
    <row r="480">
      <c r="B480" s="47"/>
    </row>
    <row r="481">
      <c r="B481" s="47"/>
    </row>
    <row r="482">
      <c r="B482" s="47"/>
    </row>
    <row r="483">
      <c r="B483" s="47"/>
    </row>
    <row r="484">
      <c r="B484" s="47"/>
    </row>
    <row r="485">
      <c r="B485" s="47"/>
    </row>
    <row r="486">
      <c r="B486" s="47"/>
    </row>
    <row r="487">
      <c r="B487" s="47"/>
    </row>
    <row r="488">
      <c r="B488" s="47"/>
    </row>
    <row r="489">
      <c r="B489" s="47"/>
    </row>
    <row r="490">
      <c r="B490" s="47"/>
    </row>
    <row r="491">
      <c r="B491" s="47"/>
    </row>
    <row r="492">
      <c r="B492" s="47"/>
    </row>
    <row r="493">
      <c r="B493" s="47"/>
    </row>
    <row r="494">
      <c r="B494" s="47"/>
    </row>
    <row r="495">
      <c r="B495" s="47"/>
    </row>
    <row r="496">
      <c r="B496" s="47"/>
    </row>
    <row r="497">
      <c r="B497" s="47"/>
    </row>
    <row r="498">
      <c r="B498" s="47"/>
    </row>
    <row r="499">
      <c r="B499" s="47"/>
    </row>
    <row r="500">
      <c r="B500" s="47"/>
    </row>
    <row r="501">
      <c r="B501" s="47"/>
    </row>
    <row r="502">
      <c r="B502" s="47"/>
    </row>
    <row r="503">
      <c r="B503" s="47"/>
    </row>
    <row r="504">
      <c r="B504" s="47"/>
    </row>
    <row r="505">
      <c r="B505" s="47"/>
    </row>
    <row r="506">
      <c r="B506" s="47"/>
    </row>
    <row r="507">
      <c r="B507" s="47"/>
    </row>
    <row r="508">
      <c r="B508" s="47"/>
    </row>
    <row r="509">
      <c r="B509" s="47"/>
    </row>
    <row r="510">
      <c r="B510" s="47"/>
    </row>
    <row r="511">
      <c r="B511" s="47"/>
    </row>
    <row r="512">
      <c r="B512" s="47"/>
    </row>
    <row r="513">
      <c r="B513" s="47"/>
    </row>
    <row r="514">
      <c r="B514" s="47"/>
    </row>
    <row r="515">
      <c r="B515" s="47"/>
    </row>
    <row r="516">
      <c r="B516" s="47"/>
    </row>
    <row r="517">
      <c r="B517" s="47"/>
    </row>
    <row r="518">
      <c r="B518" s="47"/>
    </row>
    <row r="519">
      <c r="B519" s="47"/>
    </row>
    <row r="520">
      <c r="B520" s="47"/>
    </row>
    <row r="521">
      <c r="B521" s="47"/>
    </row>
    <row r="522">
      <c r="B522" s="47"/>
    </row>
    <row r="523">
      <c r="B523" s="47"/>
    </row>
    <row r="524">
      <c r="B524" s="47"/>
    </row>
    <row r="525">
      <c r="B525" s="47"/>
    </row>
    <row r="526">
      <c r="B526" s="47"/>
    </row>
    <row r="527">
      <c r="B527" s="47"/>
    </row>
    <row r="528">
      <c r="B528" s="47"/>
    </row>
    <row r="529">
      <c r="B529" s="47"/>
    </row>
    <row r="530">
      <c r="B530" s="47"/>
    </row>
    <row r="531">
      <c r="B531" s="47"/>
    </row>
    <row r="532">
      <c r="B532" s="47"/>
    </row>
    <row r="533">
      <c r="B533" s="47"/>
    </row>
    <row r="534">
      <c r="B534" s="47"/>
    </row>
    <row r="535">
      <c r="B535" s="47"/>
    </row>
    <row r="536">
      <c r="B536" s="47"/>
    </row>
    <row r="537">
      <c r="B537" s="47"/>
    </row>
    <row r="538">
      <c r="B538" s="47"/>
    </row>
    <row r="539">
      <c r="B539" s="47"/>
    </row>
    <row r="540">
      <c r="B540" s="47"/>
    </row>
    <row r="541">
      <c r="B541" s="47"/>
    </row>
    <row r="542">
      <c r="B542" s="47"/>
    </row>
    <row r="543">
      <c r="B543" s="47"/>
    </row>
    <row r="544">
      <c r="B544" s="47"/>
    </row>
    <row r="545">
      <c r="B545" s="47"/>
    </row>
    <row r="546">
      <c r="B546" s="47"/>
    </row>
    <row r="547">
      <c r="B547" s="47"/>
    </row>
    <row r="548">
      <c r="B548" s="47"/>
    </row>
    <row r="549">
      <c r="B549" s="47"/>
    </row>
    <row r="550">
      <c r="B550" s="47"/>
    </row>
    <row r="551">
      <c r="B551" s="47"/>
    </row>
    <row r="552">
      <c r="B552" s="47"/>
    </row>
    <row r="553">
      <c r="B553" s="47"/>
    </row>
    <row r="554">
      <c r="B554" s="47"/>
    </row>
    <row r="555">
      <c r="B555" s="47"/>
    </row>
    <row r="556">
      <c r="B556" s="47"/>
    </row>
    <row r="557">
      <c r="B557" s="47"/>
    </row>
    <row r="558">
      <c r="B558" s="47"/>
    </row>
    <row r="559">
      <c r="B559" s="47"/>
    </row>
    <row r="560">
      <c r="B560" s="47"/>
    </row>
    <row r="561">
      <c r="B561" s="47"/>
    </row>
    <row r="562">
      <c r="B562" s="47"/>
    </row>
    <row r="563">
      <c r="B563" s="47"/>
    </row>
    <row r="564">
      <c r="B564" s="47"/>
    </row>
    <row r="565">
      <c r="B565" s="47"/>
    </row>
    <row r="566">
      <c r="B566" s="47"/>
    </row>
    <row r="567">
      <c r="B567" s="47"/>
    </row>
    <row r="568">
      <c r="B568" s="47"/>
    </row>
    <row r="569">
      <c r="B569" s="47"/>
    </row>
    <row r="570">
      <c r="B570" s="47"/>
    </row>
    <row r="571">
      <c r="B571" s="47"/>
    </row>
    <row r="572">
      <c r="B572" s="47"/>
    </row>
    <row r="573">
      <c r="B573" s="47"/>
    </row>
    <row r="574">
      <c r="B574" s="47"/>
    </row>
    <row r="575">
      <c r="B575" s="47"/>
    </row>
    <row r="576">
      <c r="B576" s="47"/>
    </row>
    <row r="577">
      <c r="B577" s="47"/>
    </row>
    <row r="578">
      <c r="B578" s="47"/>
    </row>
    <row r="579">
      <c r="B579" s="47"/>
    </row>
    <row r="580">
      <c r="B580" s="47"/>
    </row>
    <row r="581">
      <c r="B581" s="47"/>
    </row>
    <row r="582">
      <c r="B582" s="47"/>
    </row>
    <row r="583">
      <c r="B583" s="47"/>
    </row>
    <row r="584">
      <c r="B584" s="47"/>
    </row>
    <row r="585">
      <c r="B585" s="47"/>
    </row>
    <row r="586">
      <c r="B586" s="47"/>
    </row>
    <row r="587">
      <c r="B587" s="47"/>
    </row>
    <row r="588">
      <c r="B588" s="47"/>
    </row>
    <row r="589">
      <c r="B589" s="47"/>
    </row>
    <row r="590">
      <c r="B590" s="47"/>
    </row>
    <row r="591">
      <c r="B591" s="47"/>
    </row>
    <row r="592">
      <c r="B592" s="47"/>
    </row>
    <row r="593">
      <c r="B593" s="47"/>
    </row>
    <row r="594">
      <c r="B594" s="47"/>
    </row>
    <row r="595">
      <c r="B595" s="47"/>
    </row>
    <row r="596">
      <c r="B596" s="47"/>
    </row>
    <row r="597">
      <c r="B597" s="47"/>
    </row>
    <row r="598">
      <c r="B598" s="47"/>
    </row>
    <row r="599">
      <c r="B599" s="47"/>
    </row>
    <row r="600">
      <c r="B600" s="47"/>
    </row>
    <row r="601">
      <c r="B601" s="47"/>
    </row>
    <row r="602">
      <c r="B602" s="47"/>
    </row>
    <row r="603">
      <c r="B603" s="47"/>
    </row>
    <row r="604">
      <c r="B604" s="47"/>
    </row>
    <row r="605">
      <c r="B605" s="47"/>
    </row>
    <row r="606">
      <c r="B606" s="47"/>
    </row>
    <row r="607">
      <c r="B607" s="47"/>
    </row>
    <row r="608">
      <c r="B608" s="47"/>
    </row>
    <row r="609">
      <c r="B609" s="47"/>
    </row>
    <row r="610">
      <c r="B610" s="47"/>
    </row>
    <row r="611">
      <c r="B611" s="47"/>
    </row>
    <row r="612">
      <c r="B612" s="47"/>
    </row>
    <row r="613">
      <c r="B613" s="47"/>
    </row>
    <row r="614">
      <c r="B614" s="47"/>
    </row>
    <row r="615">
      <c r="B615" s="47"/>
    </row>
    <row r="616">
      <c r="B616" s="47"/>
    </row>
    <row r="617">
      <c r="B617" s="47"/>
    </row>
    <row r="618">
      <c r="B618" s="47"/>
    </row>
    <row r="619">
      <c r="B619" s="47"/>
    </row>
    <row r="620">
      <c r="B620" s="47"/>
    </row>
    <row r="621">
      <c r="B621" s="47"/>
    </row>
    <row r="622">
      <c r="B622" s="47"/>
    </row>
    <row r="623">
      <c r="B623" s="47"/>
    </row>
    <row r="624">
      <c r="B624" s="47"/>
    </row>
    <row r="625">
      <c r="B625" s="47"/>
    </row>
    <row r="626">
      <c r="B626" s="47"/>
    </row>
    <row r="627">
      <c r="B627" s="47"/>
    </row>
    <row r="628">
      <c r="B628" s="47"/>
    </row>
    <row r="629">
      <c r="B629" s="47"/>
    </row>
    <row r="630">
      <c r="B630" s="47"/>
    </row>
    <row r="631">
      <c r="B631" s="47"/>
    </row>
    <row r="632">
      <c r="B632" s="47"/>
    </row>
    <row r="633">
      <c r="B633" s="47"/>
    </row>
    <row r="634">
      <c r="B634" s="47"/>
    </row>
    <row r="635">
      <c r="B635" s="47"/>
    </row>
    <row r="636">
      <c r="B636" s="47"/>
    </row>
    <row r="637">
      <c r="B637" s="47"/>
    </row>
    <row r="638">
      <c r="B638" s="47"/>
    </row>
    <row r="639">
      <c r="B639" s="47"/>
    </row>
    <row r="640">
      <c r="B640" s="47"/>
    </row>
    <row r="641">
      <c r="B641" s="47"/>
    </row>
    <row r="642">
      <c r="B642" s="47"/>
    </row>
    <row r="643">
      <c r="B643" s="47"/>
    </row>
    <row r="644">
      <c r="B644" s="47"/>
    </row>
    <row r="645">
      <c r="B645" s="47"/>
    </row>
    <row r="646">
      <c r="B646" s="47"/>
    </row>
    <row r="647">
      <c r="B647" s="47"/>
    </row>
    <row r="648">
      <c r="B648" s="47"/>
    </row>
    <row r="649">
      <c r="B649" s="47"/>
    </row>
    <row r="650">
      <c r="B650" s="47"/>
    </row>
    <row r="651">
      <c r="B651" s="47"/>
    </row>
    <row r="652">
      <c r="B652" s="47"/>
    </row>
    <row r="653">
      <c r="B653" s="47"/>
    </row>
    <row r="654">
      <c r="B654" s="47"/>
    </row>
    <row r="655">
      <c r="B655" s="47"/>
    </row>
    <row r="656">
      <c r="B656" s="47"/>
    </row>
    <row r="657">
      <c r="B657" s="47"/>
    </row>
    <row r="658">
      <c r="B658" s="47"/>
    </row>
    <row r="659">
      <c r="B659" s="47"/>
    </row>
    <row r="660">
      <c r="B660" s="47"/>
    </row>
    <row r="661">
      <c r="B661" s="47"/>
    </row>
    <row r="662">
      <c r="B662" s="47"/>
    </row>
    <row r="663">
      <c r="B663" s="47"/>
    </row>
    <row r="664">
      <c r="B664" s="47"/>
    </row>
    <row r="665">
      <c r="B665" s="47"/>
    </row>
    <row r="666">
      <c r="B666" s="47"/>
    </row>
    <row r="667">
      <c r="B667" s="47"/>
    </row>
    <row r="668">
      <c r="B668" s="47"/>
    </row>
    <row r="669">
      <c r="B669" s="47"/>
    </row>
    <row r="670">
      <c r="B670" s="47"/>
    </row>
    <row r="671">
      <c r="B671" s="47"/>
    </row>
    <row r="672">
      <c r="B672" s="47"/>
    </row>
    <row r="673">
      <c r="B673" s="47"/>
    </row>
    <row r="674">
      <c r="B674" s="47"/>
    </row>
    <row r="675">
      <c r="B675" s="47"/>
    </row>
    <row r="676">
      <c r="B676" s="47"/>
    </row>
    <row r="677">
      <c r="B677" s="47"/>
    </row>
    <row r="678">
      <c r="B678" s="47"/>
    </row>
    <row r="679">
      <c r="B679" s="47"/>
    </row>
    <row r="680">
      <c r="B680" s="47"/>
    </row>
    <row r="681">
      <c r="B681" s="47"/>
    </row>
    <row r="682">
      <c r="B682" s="47"/>
    </row>
    <row r="683">
      <c r="B683" s="47"/>
    </row>
    <row r="684">
      <c r="B684" s="47"/>
    </row>
    <row r="685">
      <c r="B685" s="47"/>
    </row>
    <row r="686">
      <c r="B686" s="47"/>
    </row>
    <row r="687">
      <c r="B687" s="47"/>
    </row>
    <row r="688">
      <c r="B688" s="47"/>
    </row>
    <row r="689">
      <c r="B689" s="47"/>
    </row>
    <row r="690">
      <c r="B690" s="47"/>
    </row>
    <row r="691">
      <c r="B691" s="47"/>
    </row>
    <row r="692">
      <c r="B692" s="47"/>
    </row>
    <row r="693">
      <c r="B693" s="47"/>
    </row>
    <row r="694">
      <c r="B694" s="47"/>
    </row>
    <row r="695">
      <c r="B695" s="47"/>
    </row>
    <row r="696">
      <c r="B696" s="47"/>
    </row>
    <row r="697">
      <c r="B697" s="47"/>
    </row>
    <row r="698">
      <c r="B698" s="47"/>
    </row>
    <row r="699">
      <c r="B699" s="47"/>
    </row>
    <row r="700">
      <c r="B700" s="47"/>
    </row>
    <row r="701">
      <c r="B701" s="47"/>
    </row>
    <row r="702">
      <c r="B702" s="47"/>
    </row>
    <row r="703">
      <c r="B703" s="47"/>
    </row>
    <row r="704">
      <c r="B704" s="47"/>
    </row>
    <row r="705">
      <c r="B705" s="47"/>
    </row>
    <row r="706">
      <c r="B706" s="47"/>
    </row>
    <row r="707">
      <c r="B707" s="47"/>
    </row>
    <row r="708">
      <c r="B708" s="47"/>
    </row>
    <row r="709">
      <c r="B709" s="47"/>
    </row>
    <row r="710">
      <c r="B710" s="47"/>
    </row>
    <row r="711">
      <c r="B711" s="47"/>
    </row>
    <row r="712">
      <c r="B712" s="47"/>
    </row>
    <row r="713">
      <c r="B713" s="47"/>
    </row>
    <row r="714">
      <c r="B714" s="47"/>
    </row>
    <row r="715">
      <c r="B715" s="47"/>
    </row>
    <row r="716">
      <c r="B716" s="47"/>
    </row>
    <row r="717">
      <c r="B717" s="47"/>
    </row>
    <row r="718">
      <c r="B718" s="47"/>
    </row>
    <row r="719">
      <c r="B719" s="47"/>
    </row>
    <row r="720">
      <c r="B720" s="47"/>
    </row>
    <row r="721">
      <c r="B721" s="47"/>
    </row>
    <row r="722">
      <c r="B722" s="47"/>
    </row>
    <row r="723">
      <c r="B723" s="47"/>
    </row>
    <row r="724">
      <c r="B724" s="47"/>
    </row>
    <row r="725">
      <c r="B725" s="47"/>
    </row>
    <row r="726">
      <c r="B726" s="47"/>
    </row>
    <row r="727">
      <c r="B727" s="47"/>
    </row>
    <row r="728">
      <c r="B728" s="47"/>
    </row>
    <row r="729">
      <c r="B729" s="47"/>
    </row>
    <row r="730">
      <c r="B730" s="47"/>
    </row>
    <row r="731">
      <c r="B731" s="47"/>
    </row>
    <row r="732">
      <c r="B732" s="47"/>
    </row>
    <row r="733">
      <c r="B733" s="47"/>
    </row>
    <row r="734">
      <c r="B734" s="47"/>
    </row>
    <row r="735">
      <c r="B735" s="47"/>
    </row>
    <row r="736">
      <c r="B736" s="47"/>
    </row>
    <row r="737">
      <c r="B737" s="47"/>
    </row>
    <row r="738">
      <c r="B738" s="47"/>
    </row>
    <row r="739">
      <c r="B739" s="47"/>
    </row>
    <row r="740">
      <c r="B740" s="47"/>
    </row>
    <row r="741">
      <c r="B741" s="47"/>
    </row>
    <row r="742">
      <c r="B742" s="47"/>
    </row>
    <row r="743">
      <c r="B743" s="47"/>
    </row>
    <row r="744">
      <c r="B744" s="47"/>
    </row>
    <row r="745">
      <c r="B745" s="47"/>
    </row>
    <row r="746">
      <c r="B746" s="47"/>
    </row>
    <row r="747">
      <c r="B747" s="47"/>
    </row>
    <row r="748">
      <c r="B748" s="47"/>
    </row>
    <row r="749">
      <c r="B749" s="47"/>
    </row>
    <row r="750">
      <c r="B750" s="47"/>
    </row>
    <row r="751">
      <c r="B751" s="47"/>
    </row>
    <row r="752">
      <c r="B752" s="47"/>
    </row>
    <row r="753">
      <c r="B753" s="47"/>
    </row>
    <row r="754">
      <c r="B754" s="47"/>
    </row>
    <row r="755">
      <c r="B755" s="47"/>
    </row>
    <row r="756">
      <c r="B756" s="47"/>
    </row>
    <row r="757">
      <c r="B757" s="47"/>
    </row>
    <row r="758">
      <c r="B758" s="47"/>
    </row>
    <row r="759">
      <c r="B759" s="47"/>
    </row>
    <row r="760">
      <c r="B760" s="47"/>
    </row>
    <row r="761">
      <c r="B761" s="47"/>
    </row>
    <row r="762">
      <c r="B762" s="47"/>
    </row>
    <row r="763">
      <c r="B763" s="47"/>
    </row>
    <row r="764">
      <c r="B764" s="47"/>
    </row>
    <row r="765">
      <c r="B765" s="47"/>
    </row>
    <row r="766">
      <c r="B766" s="47"/>
    </row>
    <row r="767">
      <c r="B767" s="47"/>
    </row>
    <row r="768">
      <c r="B768" s="47"/>
    </row>
    <row r="769">
      <c r="B769" s="47"/>
    </row>
    <row r="770">
      <c r="B770" s="47"/>
    </row>
    <row r="771">
      <c r="B771" s="47"/>
    </row>
    <row r="772">
      <c r="B772" s="47"/>
    </row>
    <row r="773">
      <c r="B773" s="47"/>
    </row>
    <row r="774">
      <c r="B774" s="47"/>
    </row>
    <row r="775">
      <c r="B775" s="47"/>
    </row>
    <row r="776">
      <c r="B776" s="47"/>
    </row>
    <row r="777">
      <c r="B777" s="47"/>
    </row>
    <row r="778">
      <c r="B778" s="47"/>
    </row>
    <row r="779">
      <c r="B779" s="47"/>
    </row>
    <row r="780">
      <c r="B780" s="47"/>
    </row>
    <row r="781">
      <c r="B781" s="47"/>
    </row>
    <row r="782">
      <c r="B782" s="47"/>
    </row>
    <row r="783">
      <c r="B783" s="47"/>
    </row>
    <row r="784">
      <c r="B784" s="47"/>
    </row>
    <row r="785">
      <c r="B785" s="47"/>
    </row>
    <row r="786">
      <c r="B786" s="47"/>
    </row>
    <row r="787">
      <c r="B787" s="47"/>
    </row>
    <row r="788">
      <c r="B788" s="47"/>
    </row>
    <row r="789">
      <c r="B789" s="47"/>
    </row>
    <row r="790">
      <c r="B790" s="47"/>
    </row>
    <row r="791">
      <c r="B791" s="47"/>
    </row>
    <row r="792">
      <c r="B792" s="47"/>
    </row>
    <row r="793">
      <c r="B793" s="47"/>
    </row>
    <row r="794">
      <c r="B794" s="47"/>
    </row>
    <row r="795">
      <c r="B795" s="47"/>
    </row>
    <row r="796">
      <c r="B796" s="47"/>
    </row>
    <row r="797">
      <c r="B797" s="47"/>
    </row>
    <row r="798">
      <c r="B798" s="47"/>
    </row>
    <row r="799">
      <c r="B799" s="47"/>
    </row>
    <row r="800">
      <c r="B800" s="47"/>
    </row>
    <row r="801">
      <c r="B801" s="47"/>
    </row>
    <row r="802">
      <c r="B802" s="47"/>
    </row>
    <row r="803">
      <c r="B803" s="47"/>
    </row>
    <row r="804">
      <c r="B804" s="47"/>
    </row>
    <row r="805">
      <c r="B805" s="47"/>
    </row>
    <row r="806">
      <c r="B806" s="47"/>
    </row>
    <row r="807">
      <c r="B807" s="47"/>
    </row>
    <row r="808">
      <c r="B808" s="47"/>
    </row>
    <row r="809">
      <c r="B809" s="47"/>
    </row>
    <row r="810">
      <c r="B810" s="47"/>
    </row>
    <row r="811">
      <c r="B811" s="47"/>
    </row>
    <row r="812">
      <c r="B812" s="47"/>
    </row>
    <row r="813">
      <c r="B813" s="47"/>
    </row>
    <row r="814">
      <c r="B814" s="47"/>
    </row>
    <row r="815">
      <c r="B815" s="47"/>
    </row>
    <row r="816">
      <c r="B816" s="47"/>
    </row>
    <row r="817">
      <c r="B817" s="47"/>
    </row>
    <row r="818">
      <c r="B818" s="47"/>
    </row>
    <row r="819">
      <c r="B819" s="47"/>
    </row>
    <row r="820">
      <c r="B820" s="47"/>
    </row>
    <row r="821">
      <c r="B821" s="47"/>
    </row>
    <row r="822">
      <c r="B822" s="47"/>
    </row>
    <row r="823">
      <c r="B823" s="47"/>
    </row>
    <row r="824">
      <c r="B824" s="47"/>
    </row>
    <row r="825">
      <c r="B825" s="47"/>
    </row>
    <row r="826">
      <c r="B826" s="47"/>
    </row>
    <row r="827">
      <c r="B827" s="47"/>
    </row>
    <row r="828">
      <c r="B828" s="47"/>
    </row>
    <row r="829">
      <c r="B829" s="47"/>
    </row>
    <row r="830">
      <c r="B830" s="47"/>
    </row>
    <row r="831">
      <c r="B831" s="47"/>
    </row>
    <row r="832">
      <c r="B832" s="47"/>
    </row>
    <row r="833">
      <c r="B833" s="47"/>
    </row>
    <row r="834">
      <c r="B834" s="47"/>
    </row>
    <row r="835">
      <c r="B835" s="47"/>
    </row>
    <row r="836">
      <c r="B836" s="47"/>
    </row>
    <row r="837">
      <c r="B837" s="47"/>
    </row>
    <row r="838">
      <c r="B838" s="47"/>
    </row>
    <row r="839">
      <c r="B839" s="47"/>
    </row>
    <row r="840">
      <c r="B840" s="47"/>
    </row>
    <row r="841">
      <c r="B841" s="47"/>
    </row>
    <row r="842">
      <c r="B842" s="47"/>
    </row>
    <row r="843">
      <c r="B843" s="47"/>
    </row>
    <row r="844">
      <c r="B844" s="47"/>
    </row>
    <row r="845">
      <c r="B845" s="47"/>
    </row>
    <row r="846">
      <c r="B846" s="47"/>
    </row>
    <row r="847">
      <c r="B847" s="47"/>
    </row>
    <row r="848">
      <c r="B848" s="47"/>
    </row>
    <row r="849">
      <c r="B849" s="47"/>
    </row>
    <row r="850">
      <c r="B850" s="47"/>
    </row>
    <row r="851">
      <c r="B851" s="47"/>
    </row>
    <row r="852">
      <c r="B852" s="47"/>
    </row>
    <row r="853">
      <c r="B853" s="47"/>
    </row>
    <row r="854">
      <c r="B854" s="47"/>
    </row>
    <row r="855">
      <c r="B855" s="47"/>
    </row>
    <row r="856">
      <c r="B856" s="47"/>
    </row>
    <row r="857">
      <c r="B857" s="47"/>
    </row>
    <row r="858">
      <c r="B858" s="47"/>
    </row>
    <row r="859">
      <c r="B859" s="47"/>
    </row>
    <row r="860">
      <c r="B860" s="47"/>
    </row>
    <row r="861">
      <c r="B861" s="47"/>
    </row>
    <row r="862">
      <c r="B862" s="47"/>
    </row>
    <row r="863">
      <c r="B863" s="47"/>
    </row>
    <row r="864">
      <c r="B864" s="47"/>
    </row>
    <row r="865">
      <c r="B865" s="47"/>
    </row>
    <row r="866">
      <c r="B866" s="47"/>
    </row>
    <row r="867">
      <c r="B867" s="47"/>
    </row>
    <row r="868">
      <c r="B868" s="47"/>
    </row>
    <row r="869">
      <c r="B869" s="47"/>
    </row>
    <row r="870">
      <c r="B870" s="47"/>
    </row>
    <row r="871">
      <c r="B871" s="47"/>
    </row>
    <row r="872">
      <c r="B872" s="47"/>
    </row>
    <row r="873">
      <c r="B873" s="47"/>
    </row>
    <row r="874">
      <c r="B874" s="47"/>
    </row>
    <row r="875">
      <c r="B875" s="47"/>
    </row>
    <row r="876">
      <c r="B876" s="47"/>
    </row>
    <row r="877">
      <c r="B877" s="47"/>
    </row>
    <row r="878">
      <c r="B878" s="47"/>
    </row>
    <row r="879">
      <c r="B879" s="47"/>
    </row>
    <row r="880">
      <c r="B880" s="47"/>
    </row>
    <row r="881">
      <c r="B881" s="47"/>
    </row>
    <row r="882">
      <c r="B882" s="47"/>
    </row>
    <row r="883">
      <c r="B883" s="47"/>
    </row>
    <row r="884">
      <c r="B884" s="47"/>
    </row>
    <row r="885">
      <c r="B885" s="47"/>
    </row>
    <row r="886">
      <c r="B886" s="47"/>
    </row>
    <row r="887">
      <c r="B887" s="47"/>
    </row>
    <row r="888">
      <c r="B888" s="47"/>
    </row>
    <row r="889">
      <c r="B889" s="47"/>
    </row>
    <row r="890">
      <c r="B890" s="47"/>
    </row>
    <row r="891">
      <c r="B891" s="47"/>
    </row>
    <row r="892">
      <c r="B892" s="47"/>
    </row>
    <row r="893">
      <c r="B893" s="47"/>
    </row>
    <row r="894">
      <c r="B894" s="47"/>
    </row>
    <row r="895">
      <c r="B895" s="47"/>
    </row>
    <row r="896">
      <c r="B896" s="47"/>
    </row>
    <row r="897">
      <c r="B897" s="47"/>
    </row>
    <row r="898">
      <c r="B898" s="47"/>
    </row>
    <row r="899">
      <c r="B899" s="47"/>
    </row>
    <row r="900">
      <c r="B900" s="47"/>
    </row>
    <row r="901">
      <c r="B901" s="47"/>
    </row>
    <row r="902">
      <c r="B902" s="47"/>
    </row>
    <row r="903">
      <c r="B903" s="47"/>
    </row>
    <row r="904">
      <c r="B904" s="47"/>
    </row>
    <row r="905">
      <c r="B905" s="47"/>
    </row>
    <row r="906">
      <c r="B906" s="47"/>
    </row>
    <row r="907">
      <c r="B907" s="47"/>
    </row>
    <row r="908">
      <c r="B908" s="47"/>
    </row>
    <row r="909">
      <c r="B909" s="47"/>
    </row>
    <row r="910">
      <c r="B910" s="47"/>
    </row>
    <row r="911">
      <c r="B911" s="47"/>
    </row>
    <row r="912">
      <c r="B912" s="47"/>
    </row>
    <row r="913">
      <c r="B913" s="47"/>
    </row>
    <row r="914">
      <c r="B914" s="47"/>
    </row>
    <row r="915">
      <c r="B915" s="47"/>
    </row>
    <row r="916">
      <c r="B916" s="47"/>
    </row>
    <row r="917">
      <c r="B917" s="47"/>
    </row>
    <row r="918">
      <c r="B918" s="47"/>
    </row>
    <row r="919">
      <c r="B919" s="47"/>
    </row>
    <row r="920">
      <c r="B920" s="47"/>
    </row>
    <row r="921">
      <c r="B921" s="47"/>
    </row>
    <row r="922">
      <c r="B922" s="47"/>
    </row>
    <row r="923">
      <c r="B923" s="47"/>
    </row>
    <row r="924">
      <c r="B924" s="47"/>
    </row>
    <row r="925">
      <c r="B925" s="47"/>
    </row>
    <row r="926">
      <c r="B926" s="47"/>
    </row>
    <row r="927">
      <c r="B927" s="47"/>
    </row>
    <row r="928">
      <c r="B928" s="47"/>
    </row>
    <row r="929">
      <c r="B929" s="47"/>
    </row>
    <row r="930">
      <c r="B930" s="47"/>
    </row>
    <row r="931">
      <c r="B931" s="47"/>
    </row>
    <row r="932">
      <c r="B932" s="47"/>
    </row>
    <row r="933">
      <c r="B933" s="47"/>
    </row>
    <row r="934">
      <c r="B934" s="47"/>
    </row>
    <row r="935">
      <c r="B935" s="47"/>
    </row>
    <row r="936">
      <c r="B936" s="47"/>
    </row>
    <row r="937">
      <c r="B937" s="47"/>
    </row>
    <row r="938">
      <c r="B938" s="47"/>
    </row>
    <row r="939">
      <c r="B939" s="47"/>
    </row>
    <row r="940">
      <c r="B940" s="47"/>
    </row>
    <row r="941">
      <c r="B941" s="47"/>
    </row>
    <row r="942">
      <c r="B942" s="47"/>
    </row>
    <row r="943">
      <c r="B943" s="47"/>
    </row>
    <row r="944">
      <c r="B944" s="47"/>
    </row>
    <row r="945">
      <c r="B945" s="47"/>
    </row>
    <row r="946">
      <c r="B946" s="47"/>
    </row>
    <row r="947">
      <c r="B947" s="47"/>
    </row>
    <row r="948">
      <c r="B948" s="47"/>
    </row>
    <row r="949">
      <c r="B949" s="47"/>
    </row>
    <row r="950">
      <c r="B950" s="47"/>
    </row>
    <row r="951">
      <c r="B951" s="47"/>
    </row>
    <row r="952">
      <c r="B952" s="47"/>
    </row>
    <row r="953">
      <c r="B953" s="47"/>
    </row>
    <row r="954">
      <c r="B954" s="47"/>
    </row>
    <row r="955">
      <c r="B955" s="47"/>
    </row>
    <row r="956">
      <c r="B956" s="47"/>
    </row>
    <row r="957">
      <c r="B957" s="47"/>
    </row>
    <row r="958">
      <c r="B958" s="47"/>
    </row>
    <row r="959">
      <c r="B959" s="47"/>
    </row>
    <row r="960">
      <c r="B960" s="47"/>
    </row>
    <row r="961">
      <c r="B961" s="47"/>
    </row>
    <row r="962">
      <c r="B962" s="47"/>
    </row>
    <row r="963">
      <c r="B963" s="47"/>
    </row>
    <row r="964">
      <c r="B964" s="47"/>
    </row>
    <row r="965">
      <c r="B965" s="47"/>
    </row>
    <row r="966">
      <c r="B966" s="47"/>
    </row>
    <row r="967">
      <c r="B967" s="47"/>
    </row>
    <row r="968">
      <c r="B968" s="47"/>
    </row>
    <row r="969">
      <c r="B969" s="47"/>
    </row>
    <row r="970">
      <c r="B970" s="47"/>
    </row>
    <row r="971">
      <c r="B971" s="47"/>
    </row>
    <row r="972">
      <c r="B972" s="47"/>
    </row>
    <row r="973">
      <c r="B973" s="47"/>
    </row>
    <row r="974">
      <c r="B974" s="47"/>
    </row>
    <row r="975">
      <c r="B975" s="47"/>
    </row>
    <row r="976">
      <c r="B976" s="47"/>
    </row>
    <row r="977">
      <c r="B977" s="47"/>
    </row>
    <row r="978">
      <c r="B978" s="47"/>
    </row>
    <row r="979">
      <c r="B979" s="47"/>
    </row>
    <row r="980">
      <c r="B980" s="47"/>
    </row>
    <row r="981">
      <c r="B981" s="47"/>
    </row>
    <row r="982">
      <c r="B982" s="47"/>
    </row>
    <row r="983">
      <c r="B983" s="47"/>
    </row>
    <row r="984">
      <c r="B984" s="47"/>
    </row>
    <row r="985">
      <c r="B985" s="47"/>
    </row>
    <row r="986">
      <c r="B986" s="47"/>
    </row>
    <row r="987">
      <c r="B987" s="47"/>
    </row>
    <row r="988">
      <c r="B988" s="47"/>
    </row>
    <row r="989">
      <c r="B989" s="47"/>
    </row>
    <row r="990">
      <c r="B990" s="47"/>
    </row>
    <row r="991">
      <c r="B991" s="47"/>
    </row>
    <row r="992">
      <c r="B992" s="47"/>
    </row>
    <row r="993">
      <c r="B993" s="47"/>
    </row>
    <row r="994">
      <c r="B994" s="47"/>
    </row>
    <row r="995">
      <c r="B995" s="47"/>
    </row>
    <row r="996">
      <c r="B996" s="47"/>
    </row>
    <row r="997">
      <c r="B997" s="47"/>
    </row>
    <row r="998">
      <c r="B998" s="47"/>
    </row>
    <row r="999">
      <c r="B999" s="47"/>
    </row>
    <row r="1000">
      <c r="B1000" s="47"/>
    </row>
    <row r="1001">
      <c r="B1001" s="47"/>
    </row>
    <row r="1002">
      <c r="B1002" s="47"/>
    </row>
    <row r="1003">
      <c r="B1003" s="47"/>
    </row>
    <row r="1004">
      <c r="B1004" s="47"/>
    </row>
    <row r="1005">
      <c r="B1005" s="47"/>
    </row>
    <row r="1006">
      <c r="B1006" s="47"/>
    </row>
  </sheetData>
  <mergeCells count="1">
    <mergeCell ref="A34:B34"/>
  </mergeCells>
  <hyperlinks>
    <hyperlink r:id="rId1" ref="A3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38.63"/>
  </cols>
  <sheetData>
    <row r="1">
      <c r="A1" s="17" t="s">
        <v>28</v>
      </c>
      <c r="B1" s="27" t="s">
        <v>188</v>
      </c>
    </row>
    <row r="2">
      <c r="A2" s="19" t="s">
        <v>54</v>
      </c>
      <c r="B2" s="20">
        <v>13950.0</v>
      </c>
    </row>
    <row r="3">
      <c r="A3" s="19" t="s">
        <v>34</v>
      </c>
      <c r="B3" s="20">
        <v>361178.0</v>
      </c>
    </row>
    <row r="4">
      <c r="A4" s="19" t="s">
        <v>33</v>
      </c>
      <c r="B4" s="20">
        <v>27251.0</v>
      </c>
    </row>
    <row r="5">
      <c r="A5" s="19" t="s">
        <v>55</v>
      </c>
      <c r="B5" s="20">
        <v>23978.0</v>
      </c>
    </row>
    <row r="6">
      <c r="A6" s="19" t="s">
        <v>264</v>
      </c>
      <c r="B6" s="20">
        <v>153056.0</v>
      </c>
    </row>
    <row r="7">
      <c r="A7" s="19" t="s">
        <v>265</v>
      </c>
      <c r="B7" s="20">
        <v>34018.0</v>
      </c>
    </row>
    <row r="8">
      <c r="A8" s="19" t="s">
        <v>266</v>
      </c>
      <c r="B8" s="20">
        <v>41408.0</v>
      </c>
    </row>
    <row r="9">
      <c r="A9" s="19" t="s">
        <v>37</v>
      </c>
      <c r="B9" s="20">
        <v>214760.0</v>
      </c>
    </row>
    <row r="10">
      <c r="A10" s="19" t="s">
        <v>267</v>
      </c>
      <c r="B10" s="20">
        <v>1285681.0</v>
      </c>
    </row>
    <row r="11">
      <c r="A11" s="19" t="s">
        <v>268</v>
      </c>
      <c r="B11" s="20">
        <v>970714.0</v>
      </c>
    </row>
    <row r="12">
      <c r="A12" s="19" t="s">
        <v>269</v>
      </c>
      <c r="B12" s="20">
        <v>140712.0</v>
      </c>
    </row>
    <row r="13">
      <c r="A13" s="19" t="s">
        <v>45</v>
      </c>
      <c r="B13" s="20">
        <v>89296.0</v>
      </c>
    </row>
    <row r="14">
      <c r="A14" s="19" t="s">
        <v>270</v>
      </c>
      <c r="B14" s="20">
        <v>68183.0</v>
      </c>
    </row>
    <row r="15">
      <c r="A15" s="19" t="s">
        <v>271</v>
      </c>
      <c r="B15" s="20">
        <v>13265.0</v>
      </c>
    </row>
    <row r="16">
      <c r="A16" s="19" t="s">
        <v>272</v>
      </c>
      <c r="B16" s="20">
        <v>6286.0</v>
      </c>
    </row>
    <row r="17">
      <c r="A17" s="19" t="s">
        <v>273</v>
      </c>
      <c r="B17" s="20">
        <v>97.0</v>
      </c>
    </row>
    <row r="18">
      <c r="A18" s="19" t="s">
        <v>274</v>
      </c>
      <c r="B18" s="20">
        <v>160372.0</v>
      </c>
    </row>
    <row r="19">
      <c r="A19" s="19" t="s">
        <v>275</v>
      </c>
      <c r="B19" s="20">
        <v>340771.0</v>
      </c>
    </row>
    <row r="20">
      <c r="A20" s="19" t="s">
        <v>276</v>
      </c>
      <c r="B20" s="20">
        <v>16662.0</v>
      </c>
    </row>
    <row r="21">
      <c r="A21" s="19" t="s">
        <v>277</v>
      </c>
      <c r="B21" s="20">
        <v>38942.0</v>
      </c>
    </row>
    <row r="22">
      <c r="A22" s="19" t="s">
        <v>58</v>
      </c>
      <c r="B22" s="20">
        <v>47153.0</v>
      </c>
    </row>
    <row r="23">
      <c r="A23" s="19" t="s">
        <v>278</v>
      </c>
      <c r="B23" s="20">
        <v>8648.0</v>
      </c>
    </row>
    <row r="24">
      <c r="A24" s="19" t="s">
        <v>61</v>
      </c>
      <c r="B24" s="20">
        <v>28238.0</v>
      </c>
    </row>
    <row r="25">
      <c r="A25" s="19" t="s">
        <v>279</v>
      </c>
      <c r="B25" s="20">
        <v>84250.0</v>
      </c>
    </row>
    <row r="26">
      <c r="A26" s="19" t="s">
        <v>280</v>
      </c>
      <c r="B26" s="20">
        <v>7197.0</v>
      </c>
    </row>
    <row r="27">
      <c r="A27" s="19" t="s">
        <v>281</v>
      </c>
      <c r="B27" s="20">
        <v>1850000.0</v>
      </c>
    </row>
    <row r="28">
      <c r="A28" s="19" t="s">
        <v>208</v>
      </c>
      <c r="B28" s="20">
        <v>1865975.0</v>
      </c>
    </row>
    <row r="29">
      <c r="A29" s="19" t="s">
        <v>282</v>
      </c>
      <c r="B29" s="20">
        <v>5625.0</v>
      </c>
    </row>
    <row r="30">
      <c r="A30" s="21" t="s">
        <v>69</v>
      </c>
      <c r="B30" s="22">
        <f>SUM(B2:B29)</f>
        <v>7897666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B31" s="25"/>
    </row>
    <row r="32">
      <c r="A32" s="50" t="s">
        <v>283</v>
      </c>
    </row>
    <row r="33">
      <c r="A33" s="1" t="s">
        <v>52</v>
      </c>
      <c r="B33" s="25"/>
    </row>
    <row r="34">
      <c r="B34" s="25"/>
    </row>
    <row r="35">
      <c r="B35" s="25"/>
    </row>
    <row r="36">
      <c r="B36" s="25"/>
    </row>
    <row r="37">
      <c r="B37" s="25"/>
    </row>
    <row r="38">
      <c r="B38" s="25"/>
    </row>
    <row r="39">
      <c r="B39" s="25"/>
    </row>
    <row r="40">
      <c r="B40" s="25"/>
    </row>
    <row r="41">
      <c r="B41" s="25"/>
    </row>
    <row r="42">
      <c r="B42" s="25"/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  <row r="998">
      <c r="B998" s="25"/>
    </row>
    <row r="999">
      <c r="B999" s="25"/>
    </row>
    <row r="1000">
      <c r="B1000" s="25"/>
    </row>
    <row r="1001">
      <c r="B1001" s="25"/>
    </row>
    <row r="1002">
      <c r="B1002" s="25"/>
    </row>
    <row r="1003">
      <c r="B1003" s="25"/>
    </row>
    <row r="1004">
      <c r="B1004" s="25"/>
    </row>
    <row r="1005">
      <c r="B1005" s="25"/>
    </row>
  </sheetData>
  <mergeCells count="1">
    <mergeCell ref="A32:B32"/>
  </mergeCells>
  <hyperlinks>
    <hyperlink r:id="rId1" ref="A3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38.63"/>
  </cols>
  <sheetData>
    <row r="1">
      <c r="A1" s="17" t="s">
        <v>28</v>
      </c>
      <c r="B1" s="48" t="s">
        <v>29</v>
      </c>
    </row>
    <row r="2">
      <c r="A2" s="19" t="s">
        <v>284</v>
      </c>
      <c r="B2" s="43">
        <v>10373.0</v>
      </c>
    </row>
    <row r="3">
      <c r="A3" s="19" t="s">
        <v>240</v>
      </c>
      <c r="B3" s="43">
        <v>720.97</v>
      </c>
    </row>
    <row r="4">
      <c r="A4" s="19" t="s">
        <v>285</v>
      </c>
      <c r="B4" s="43">
        <v>44117.0</v>
      </c>
    </row>
    <row r="5">
      <c r="A5" s="19" t="s">
        <v>286</v>
      </c>
      <c r="B5" s="43">
        <v>0.0</v>
      </c>
    </row>
    <row r="6">
      <c r="A6" s="19" t="s">
        <v>287</v>
      </c>
      <c r="B6" s="43">
        <v>0.0</v>
      </c>
    </row>
    <row r="7">
      <c r="A7" s="19" t="s">
        <v>288</v>
      </c>
      <c r="B7" s="43">
        <v>17000.0</v>
      </c>
    </row>
    <row r="8">
      <c r="A8" s="19" t="s">
        <v>289</v>
      </c>
      <c r="B8" s="43">
        <v>125802.9</v>
      </c>
    </row>
    <row r="9">
      <c r="A9" s="19" t="s">
        <v>290</v>
      </c>
      <c r="B9" s="43">
        <v>16542.15</v>
      </c>
    </row>
    <row r="10">
      <c r="A10" s="19" t="s">
        <v>291</v>
      </c>
      <c r="B10" s="43">
        <v>0.0</v>
      </c>
    </row>
    <row r="11">
      <c r="A11" s="19" t="s">
        <v>292</v>
      </c>
      <c r="B11" s="43">
        <v>800.0</v>
      </c>
    </row>
    <row r="12">
      <c r="A12" s="19" t="s">
        <v>84</v>
      </c>
      <c r="B12" s="43">
        <v>7762.19</v>
      </c>
    </row>
    <row r="13">
      <c r="A13" s="19" t="s">
        <v>85</v>
      </c>
      <c r="B13" s="43">
        <v>62351.94</v>
      </c>
    </row>
    <row r="14">
      <c r="A14" s="19" t="s">
        <v>55</v>
      </c>
      <c r="B14" s="43">
        <v>19160.0</v>
      </c>
    </row>
    <row r="15">
      <c r="A15" s="19" t="s">
        <v>293</v>
      </c>
      <c r="B15" s="43">
        <v>227921.17</v>
      </c>
    </row>
    <row r="16">
      <c r="A16" s="19" t="s">
        <v>294</v>
      </c>
      <c r="B16" s="43">
        <v>24141.0</v>
      </c>
    </row>
    <row r="17">
      <c r="A17" s="19" t="s">
        <v>295</v>
      </c>
      <c r="B17" s="43">
        <v>442844.5</v>
      </c>
    </row>
    <row r="18">
      <c r="A18" s="19" t="s">
        <v>296</v>
      </c>
      <c r="B18" s="43">
        <v>989.0</v>
      </c>
    </row>
    <row r="19">
      <c r="A19" s="19" t="s">
        <v>45</v>
      </c>
      <c r="B19" s="43">
        <v>12817.41</v>
      </c>
    </row>
    <row r="20">
      <c r="A20" s="19" t="s">
        <v>297</v>
      </c>
      <c r="B20" s="43">
        <v>625259.79</v>
      </c>
    </row>
    <row r="21">
      <c r="A21" s="19" t="s">
        <v>298</v>
      </c>
      <c r="B21" s="43">
        <v>0.0</v>
      </c>
    </row>
    <row r="22">
      <c r="A22" s="19" t="s">
        <v>241</v>
      </c>
      <c r="B22" s="43">
        <v>0.0</v>
      </c>
    </row>
    <row r="23">
      <c r="A23" s="19" t="s">
        <v>299</v>
      </c>
      <c r="B23" s="43">
        <v>122284.17</v>
      </c>
    </row>
    <row r="24">
      <c r="A24" s="19" t="s">
        <v>300</v>
      </c>
      <c r="B24" s="43">
        <v>750.0</v>
      </c>
    </row>
    <row r="25">
      <c r="A25" s="19" t="s">
        <v>89</v>
      </c>
      <c r="B25" s="43">
        <v>24930.19</v>
      </c>
    </row>
    <row r="26">
      <c r="A26" s="19" t="s">
        <v>91</v>
      </c>
      <c r="B26" s="43">
        <v>11087.35</v>
      </c>
    </row>
    <row r="27">
      <c r="A27" s="19" t="s">
        <v>301</v>
      </c>
      <c r="B27" s="43">
        <v>4909.79</v>
      </c>
    </row>
    <row r="28">
      <c r="A28" s="51" t="s">
        <v>302</v>
      </c>
      <c r="B28" s="52">
        <v>7840.0</v>
      </c>
    </row>
    <row r="29">
      <c r="A29" s="51" t="s">
        <v>37</v>
      </c>
      <c r="B29" s="43">
        <v>38508.81</v>
      </c>
    </row>
    <row r="30">
      <c r="A30" s="19" t="s">
        <v>303</v>
      </c>
      <c r="B30" s="43">
        <v>3874.33</v>
      </c>
    </row>
    <row r="31">
      <c r="A31" s="19" t="s">
        <v>304</v>
      </c>
      <c r="B31" s="52">
        <v>77604.0</v>
      </c>
    </row>
    <row r="32">
      <c r="A32" s="19" t="s">
        <v>305</v>
      </c>
      <c r="B32" s="43">
        <v>8298.25</v>
      </c>
    </row>
    <row r="33">
      <c r="A33" s="19" t="s">
        <v>306</v>
      </c>
      <c r="B33" s="43">
        <v>5840.0</v>
      </c>
    </row>
    <row r="34">
      <c r="A34" s="21" t="s">
        <v>69</v>
      </c>
      <c r="B34" s="44">
        <f>SUM(B2:B33)</f>
        <v>1944529.91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B35" s="47"/>
    </row>
    <row r="36">
      <c r="A36" s="50" t="s">
        <v>307</v>
      </c>
    </row>
    <row r="37">
      <c r="A37" s="1" t="s">
        <v>52</v>
      </c>
      <c r="B37" s="47"/>
    </row>
    <row r="38">
      <c r="B38" s="47"/>
    </row>
    <row r="39">
      <c r="B39" s="47"/>
    </row>
    <row r="40">
      <c r="B40" s="47"/>
    </row>
    <row r="41">
      <c r="B41" s="47"/>
    </row>
    <row r="42">
      <c r="B42" s="47"/>
    </row>
    <row r="43">
      <c r="B43" s="47"/>
    </row>
    <row r="44">
      <c r="B44" s="47"/>
    </row>
    <row r="45">
      <c r="B45" s="47"/>
    </row>
    <row r="46">
      <c r="B46" s="47"/>
    </row>
    <row r="47">
      <c r="B47" s="47"/>
    </row>
    <row r="48">
      <c r="B48" s="47"/>
    </row>
    <row r="49">
      <c r="B49" s="47"/>
    </row>
    <row r="50">
      <c r="B50" s="47"/>
    </row>
    <row r="51">
      <c r="B51" s="47"/>
    </row>
    <row r="52">
      <c r="B52" s="47"/>
    </row>
    <row r="53">
      <c r="B53" s="47"/>
    </row>
    <row r="54">
      <c r="B54" s="47"/>
    </row>
    <row r="55">
      <c r="B55" s="47"/>
    </row>
    <row r="56">
      <c r="B56" s="47"/>
    </row>
    <row r="57">
      <c r="B57" s="47"/>
    </row>
    <row r="58">
      <c r="B58" s="47"/>
    </row>
    <row r="59">
      <c r="B59" s="47"/>
    </row>
    <row r="60">
      <c r="B60" s="47"/>
    </row>
    <row r="61">
      <c r="B61" s="47"/>
    </row>
    <row r="62">
      <c r="B62" s="47"/>
    </row>
    <row r="63">
      <c r="B63" s="47"/>
    </row>
    <row r="64">
      <c r="B64" s="47"/>
    </row>
    <row r="65">
      <c r="B65" s="47"/>
    </row>
    <row r="66">
      <c r="B66" s="47"/>
    </row>
    <row r="67">
      <c r="B67" s="47"/>
    </row>
    <row r="68">
      <c r="B68" s="47"/>
    </row>
    <row r="69">
      <c r="B69" s="47"/>
    </row>
    <row r="70">
      <c r="B70" s="47"/>
    </row>
    <row r="71">
      <c r="B71" s="47"/>
    </row>
    <row r="72">
      <c r="B72" s="47"/>
    </row>
    <row r="73">
      <c r="B73" s="47"/>
    </row>
    <row r="74">
      <c r="B74" s="47"/>
    </row>
    <row r="75">
      <c r="B75" s="47"/>
    </row>
    <row r="76">
      <c r="B76" s="47"/>
    </row>
    <row r="77">
      <c r="B77" s="47"/>
    </row>
    <row r="78">
      <c r="B78" s="47"/>
    </row>
    <row r="79">
      <c r="B79" s="47"/>
    </row>
    <row r="80">
      <c r="B80" s="47"/>
    </row>
    <row r="81">
      <c r="B81" s="47"/>
    </row>
    <row r="82">
      <c r="B82" s="47"/>
    </row>
    <row r="83">
      <c r="B83" s="47"/>
    </row>
    <row r="84">
      <c r="B84" s="47"/>
    </row>
    <row r="85">
      <c r="B85" s="47"/>
    </row>
    <row r="86">
      <c r="B86" s="47"/>
    </row>
    <row r="87">
      <c r="B87" s="47"/>
    </row>
    <row r="88">
      <c r="B88" s="47"/>
    </row>
    <row r="89">
      <c r="B89" s="47"/>
    </row>
    <row r="90">
      <c r="B90" s="47"/>
    </row>
    <row r="91">
      <c r="B91" s="47"/>
    </row>
    <row r="92">
      <c r="B92" s="47"/>
    </row>
    <row r="93">
      <c r="B93" s="47"/>
    </row>
    <row r="94">
      <c r="B94" s="47"/>
    </row>
    <row r="95">
      <c r="B95" s="47"/>
    </row>
    <row r="96">
      <c r="B96" s="47"/>
    </row>
    <row r="97">
      <c r="B97" s="47"/>
    </row>
    <row r="98">
      <c r="B98" s="47"/>
    </row>
    <row r="99">
      <c r="B99" s="47"/>
    </row>
    <row r="100">
      <c r="B100" s="47"/>
    </row>
    <row r="101">
      <c r="B101" s="47"/>
    </row>
    <row r="102">
      <c r="B102" s="47"/>
    </row>
    <row r="103">
      <c r="B103" s="47"/>
    </row>
    <row r="104">
      <c r="B104" s="47"/>
    </row>
    <row r="105">
      <c r="B105" s="47"/>
    </row>
    <row r="106">
      <c r="B106" s="47"/>
    </row>
    <row r="107">
      <c r="B107" s="47"/>
    </row>
    <row r="108">
      <c r="B108" s="47"/>
    </row>
    <row r="109">
      <c r="B109" s="47"/>
    </row>
    <row r="110">
      <c r="B110" s="47"/>
    </row>
    <row r="111">
      <c r="B111" s="47"/>
    </row>
    <row r="112">
      <c r="B112" s="47"/>
    </row>
    <row r="113">
      <c r="B113" s="47"/>
    </row>
    <row r="114">
      <c r="B114" s="47"/>
    </row>
    <row r="115">
      <c r="B115" s="47"/>
    </row>
    <row r="116">
      <c r="B116" s="47"/>
    </row>
    <row r="117">
      <c r="B117" s="47"/>
    </row>
    <row r="118">
      <c r="B118" s="47"/>
    </row>
    <row r="119">
      <c r="B119" s="47"/>
    </row>
    <row r="120">
      <c r="B120" s="47"/>
    </row>
    <row r="121">
      <c r="B121" s="47"/>
    </row>
    <row r="122">
      <c r="B122" s="47"/>
    </row>
    <row r="123">
      <c r="B123" s="47"/>
    </row>
    <row r="124">
      <c r="B124" s="47"/>
    </row>
    <row r="125">
      <c r="B125" s="47"/>
    </row>
    <row r="126">
      <c r="B126" s="47"/>
    </row>
    <row r="127">
      <c r="B127" s="47"/>
    </row>
    <row r="128">
      <c r="B128" s="47"/>
    </row>
    <row r="129">
      <c r="B129" s="47"/>
    </row>
    <row r="130">
      <c r="B130" s="47"/>
    </row>
    <row r="131">
      <c r="B131" s="47"/>
    </row>
    <row r="132">
      <c r="B132" s="47"/>
    </row>
    <row r="133">
      <c r="B133" s="47"/>
    </row>
    <row r="134">
      <c r="B134" s="47"/>
    </row>
    <row r="135">
      <c r="B135" s="47"/>
    </row>
    <row r="136">
      <c r="B136" s="47"/>
    </row>
    <row r="137">
      <c r="B137" s="47"/>
    </row>
    <row r="138">
      <c r="B138" s="47"/>
    </row>
    <row r="139">
      <c r="B139" s="47"/>
    </row>
    <row r="140">
      <c r="B140" s="47"/>
    </row>
    <row r="141">
      <c r="B141" s="47"/>
    </row>
    <row r="142">
      <c r="B142" s="47"/>
    </row>
    <row r="143">
      <c r="B143" s="47"/>
    </row>
    <row r="144">
      <c r="B144" s="47"/>
    </row>
    <row r="145">
      <c r="B145" s="47"/>
    </row>
    <row r="146">
      <c r="B146" s="47"/>
    </row>
    <row r="147">
      <c r="B147" s="47"/>
    </row>
    <row r="148">
      <c r="B148" s="47"/>
    </row>
    <row r="149">
      <c r="B149" s="47"/>
    </row>
    <row r="150">
      <c r="B150" s="47"/>
    </row>
    <row r="151">
      <c r="B151" s="47"/>
    </row>
    <row r="152">
      <c r="B152" s="47"/>
    </row>
    <row r="153">
      <c r="B153" s="47"/>
    </row>
    <row r="154">
      <c r="B154" s="47"/>
    </row>
    <row r="155">
      <c r="B155" s="47"/>
    </row>
    <row r="156">
      <c r="B156" s="47"/>
    </row>
    <row r="157">
      <c r="B157" s="47"/>
    </row>
    <row r="158">
      <c r="B158" s="47"/>
    </row>
    <row r="159">
      <c r="B159" s="47"/>
    </row>
    <row r="160">
      <c r="B160" s="47"/>
    </row>
    <row r="161">
      <c r="B161" s="47"/>
    </row>
    <row r="162">
      <c r="B162" s="47"/>
    </row>
    <row r="163">
      <c r="B163" s="47"/>
    </row>
    <row r="164">
      <c r="B164" s="47"/>
    </row>
    <row r="165">
      <c r="B165" s="47"/>
    </row>
    <row r="166">
      <c r="B166" s="47"/>
    </row>
    <row r="167">
      <c r="B167" s="47"/>
    </row>
    <row r="168">
      <c r="B168" s="47"/>
    </row>
    <row r="169">
      <c r="B169" s="47"/>
    </row>
    <row r="170">
      <c r="B170" s="47"/>
    </row>
    <row r="171">
      <c r="B171" s="47"/>
    </row>
    <row r="172">
      <c r="B172" s="47"/>
    </row>
    <row r="173">
      <c r="B173" s="47"/>
    </row>
    <row r="174">
      <c r="B174" s="47"/>
    </row>
    <row r="175">
      <c r="B175" s="47"/>
    </row>
    <row r="176">
      <c r="B176" s="47"/>
    </row>
    <row r="177">
      <c r="B177" s="47"/>
    </row>
    <row r="178">
      <c r="B178" s="47"/>
    </row>
    <row r="179">
      <c r="B179" s="47"/>
    </row>
    <row r="180">
      <c r="B180" s="47"/>
    </row>
    <row r="181">
      <c r="B181" s="47"/>
    </row>
    <row r="182">
      <c r="B182" s="47"/>
    </row>
    <row r="183">
      <c r="B183" s="47"/>
    </row>
    <row r="184">
      <c r="B184" s="47"/>
    </row>
    <row r="185">
      <c r="B185" s="47"/>
    </row>
    <row r="186">
      <c r="B186" s="47"/>
    </row>
    <row r="187">
      <c r="B187" s="47"/>
    </row>
    <row r="188">
      <c r="B188" s="47"/>
    </row>
    <row r="189">
      <c r="B189" s="47"/>
    </row>
    <row r="190">
      <c r="B190" s="47"/>
    </row>
    <row r="191">
      <c r="B191" s="47"/>
    </row>
    <row r="192">
      <c r="B192" s="47"/>
    </row>
    <row r="193">
      <c r="B193" s="47"/>
    </row>
    <row r="194">
      <c r="B194" s="47"/>
    </row>
    <row r="195">
      <c r="B195" s="47"/>
    </row>
    <row r="196">
      <c r="B196" s="47"/>
    </row>
    <row r="197">
      <c r="B197" s="47"/>
    </row>
    <row r="198">
      <c r="B198" s="47"/>
    </row>
    <row r="199">
      <c r="B199" s="47"/>
    </row>
    <row r="200">
      <c r="B200" s="47"/>
    </row>
    <row r="201">
      <c r="B201" s="47"/>
    </row>
    <row r="202">
      <c r="B202" s="47"/>
    </row>
    <row r="203">
      <c r="B203" s="47"/>
    </row>
    <row r="204">
      <c r="B204" s="47"/>
    </row>
    <row r="205">
      <c r="B205" s="47"/>
    </row>
    <row r="206">
      <c r="B206" s="47"/>
    </row>
    <row r="207">
      <c r="B207" s="47"/>
    </row>
    <row r="208">
      <c r="B208" s="47"/>
    </row>
    <row r="209">
      <c r="B209" s="47"/>
    </row>
    <row r="210">
      <c r="B210" s="47"/>
    </row>
    <row r="211">
      <c r="B211" s="47"/>
    </row>
    <row r="212">
      <c r="B212" s="47"/>
    </row>
    <row r="213">
      <c r="B213" s="47"/>
    </row>
    <row r="214">
      <c r="B214" s="47"/>
    </row>
    <row r="215">
      <c r="B215" s="47"/>
    </row>
    <row r="216">
      <c r="B216" s="47"/>
    </row>
    <row r="217">
      <c r="B217" s="47"/>
    </row>
    <row r="218">
      <c r="B218" s="47"/>
    </row>
    <row r="219">
      <c r="B219" s="47"/>
    </row>
    <row r="220">
      <c r="B220" s="47"/>
    </row>
    <row r="221">
      <c r="B221" s="47"/>
    </row>
    <row r="222">
      <c r="B222" s="47"/>
    </row>
    <row r="223">
      <c r="B223" s="47"/>
    </row>
    <row r="224">
      <c r="B224" s="47"/>
    </row>
    <row r="225">
      <c r="B225" s="47"/>
    </row>
    <row r="226">
      <c r="B226" s="47"/>
    </row>
    <row r="227">
      <c r="B227" s="47"/>
    </row>
    <row r="228">
      <c r="B228" s="47"/>
    </row>
    <row r="229">
      <c r="B229" s="47"/>
    </row>
    <row r="230">
      <c r="B230" s="47"/>
    </row>
    <row r="231">
      <c r="B231" s="47"/>
    </row>
    <row r="232">
      <c r="B232" s="47"/>
    </row>
    <row r="233">
      <c r="B233" s="47"/>
    </row>
    <row r="234">
      <c r="B234" s="47"/>
    </row>
    <row r="235">
      <c r="B235" s="47"/>
    </row>
    <row r="236">
      <c r="B236" s="47"/>
    </row>
    <row r="237">
      <c r="B237" s="47"/>
    </row>
    <row r="238">
      <c r="B238" s="47"/>
    </row>
    <row r="239">
      <c r="B239" s="47"/>
    </row>
    <row r="240">
      <c r="B240" s="47"/>
    </row>
    <row r="241">
      <c r="B241" s="47"/>
    </row>
    <row r="242">
      <c r="B242" s="47"/>
    </row>
    <row r="243">
      <c r="B243" s="47"/>
    </row>
    <row r="244">
      <c r="B244" s="47"/>
    </row>
    <row r="245">
      <c r="B245" s="47"/>
    </row>
    <row r="246">
      <c r="B246" s="47"/>
    </row>
    <row r="247">
      <c r="B247" s="47"/>
    </row>
    <row r="248">
      <c r="B248" s="47"/>
    </row>
    <row r="249">
      <c r="B249" s="47"/>
    </row>
    <row r="250">
      <c r="B250" s="47"/>
    </row>
    <row r="251">
      <c r="B251" s="47"/>
    </row>
    <row r="252">
      <c r="B252" s="47"/>
    </row>
    <row r="253">
      <c r="B253" s="47"/>
    </row>
    <row r="254">
      <c r="B254" s="47"/>
    </row>
    <row r="255">
      <c r="B255" s="47"/>
    </row>
    <row r="256">
      <c r="B256" s="47"/>
    </row>
    <row r="257">
      <c r="B257" s="47"/>
    </row>
    <row r="258">
      <c r="B258" s="47"/>
    </row>
    <row r="259">
      <c r="B259" s="47"/>
    </row>
    <row r="260">
      <c r="B260" s="47"/>
    </row>
    <row r="261">
      <c r="B261" s="47"/>
    </row>
    <row r="262">
      <c r="B262" s="47"/>
    </row>
    <row r="263">
      <c r="B263" s="47"/>
    </row>
    <row r="264">
      <c r="B264" s="47"/>
    </row>
    <row r="265">
      <c r="B265" s="47"/>
    </row>
    <row r="266">
      <c r="B266" s="47"/>
    </row>
    <row r="267">
      <c r="B267" s="47"/>
    </row>
    <row r="268">
      <c r="B268" s="47"/>
    </row>
    <row r="269">
      <c r="B269" s="47"/>
    </row>
    <row r="270">
      <c r="B270" s="47"/>
    </row>
    <row r="271">
      <c r="B271" s="47"/>
    </row>
    <row r="272">
      <c r="B272" s="47"/>
    </row>
    <row r="273">
      <c r="B273" s="47"/>
    </row>
    <row r="274">
      <c r="B274" s="47"/>
    </row>
    <row r="275">
      <c r="B275" s="47"/>
    </row>
    <row r="276">
      <c r="B276" s="47"/>
    </row>
    <row r="277">
      <c r="B277" s="47"/>
    </row>
    <row r="278">
      <c r="B278" s="47"/>
    </row>
    <row r="279">
      <c r="B279" s="47"/>
    </row>
    <row r="280">
      <c r="B280" s="47"/>
    </row>
    <row r="281">
      <c r="B281" s="47"/>
    </row>
    <row r="282">
      <c r="B282" s="47"/>
    </row>
    <row r="283">
      <c r="B283" s="47"/>
    </row>
    <row r="284">
      <c r="B284" s="47"/>
    </row>
    <row r="285">
      <c r="B285" s="47"/>
    </row>
    <row r="286">
      <c r="B286" s="47"/>
    </row>
    <row r="287">
      <c r="B287" s="47"/>
    </row>
    <row r="288">
      <c r="B288" s="47"/>
    </row>
    <row r="289">
      <c r="B289" s="47"/>
    </row>
    <row r="290">
      <c r="B290" s="47"/>
    </row>
    <row r="291">
      <c r="B291" s="47"/>
    </row>
    <row r="292">
      <c r="B292" s="47"/>
    </row>
    <row r="293">
      <c r="B293" s="47"/>
    </row>
    <row r="294">
      <c r="B294" s="47"/>
    </row>
    <row r="295">
      <c r="B295" s="47"/>
    </row>
    <row r="296">
      <c r="B296" s="47"/>
    </row>
    <row r="297">
      <c r="B297" s="47"/>
    </row>
    <row r="298">
      <c r="B298" s="47"/>
    </row>
    <row r="299">
      <c r="B299" s="47"/>
    </row>
    <row r="300">
      <c r="B300" s="47"/>
    </row>
    <row r="301">
      <c r="B301" s="47"/>
    </row>
    <row r="302">
      <c r="B302" s="47"/>
    </row>
    <row r="303">
      <c r="B303" s="47"/>
    </row>
    <row r="304">
      <c r="B304" s="47"/>
    </row>
    <row r="305">
      <c r="B305" s="47"/>
    </row>
    <row r="306">
      <c r="B306" s="47"/>
    </row>
    <row r="307">
      <c r="B307" s="47"/>
    </row>
    <row r="308">
      <c r="B308" s="47"/>
    </row>
    <row r="309">
      <c r="B309" s="47"/>
    </row>
    <row r="310">
      <c r="B310" s="47"/>
    </row>
    <row r="311">
      <c r="B311" s="47"/>
    </row>
    <row r="312">
      <c r="B312" s="47"/>
    </row>
    <row r="313">
      <c r="B313" s="47"/>
    </row>
    <row r="314">
      <c r="B314" s="47"/>
    </row>
    <row r="315">
      <c r="B315" s="47"/>
    </row>
    <row r="316">
      <c r="B316" s="47"/>
    </row>
    <row r="317">
      <c r="B317" s="47"/>
    </row>
    <row r="318">
      <c r="B318" s="47"/>
    </row>
    <row r="319">
      <c r="B319" s="47"/>
    </row>
    <row r="320">
      <c r="B320" s="47"/>
    </row>
    <row r="321">
      <c r="B321" s="47"/>
    </row>
    <row r="322">
      <c r="B322" s="47"/>
    </row>
    <row r="323">
      <c r="B323" s="47"/>
    </row>
    <row r="324">
      <c r="B324" s="47"/>
    </row>
    <row r="325">
      <c r="B325" s="47"/>
    </row>
    <row r="326">
      <c r="B326" s="47"/>
    </row>
    <row r="327">
      <c r="B327" s="47"/>
    </row>
    <row r="328">
      <c r="B328" s="47"/>
    </row>
    <row r="329">
      <c r="B329" s="47"/>
    </row>
    <row r="330">
      <c r="B330" s="47"/>
    </row>
    <row r="331">
      <c r="B331" s="47"/>
    </row>
    <row r="332">
      <c r="B332" s="47"/>
    </row>
    <row r="333">
      <c r="B333" s="47"/>
    </row>
    <row r="334">
      <c r="B334" s="47"/>
    </row>
    <row r="335">
      <c r="B335" s="47"/>
    </row>
    <row r="336">
      <c r="B336" s="47"/>
    </row>
    <row r="337">
      <c r="B337" s="47"/>
    </row>
    <row r="338">
      <c r="B338" s="47"/>
    </row>
    <row r="339">
      <c r="B339" s="47"/>
    </row>
    <row r="340">
      <c r="B340" s="47"/>
    </row>
    <row r="341">
      <c r="B341" s="47"/>
    </row>
    <row r="342">
      <c r="B342" s="47"/>
    </row>
    <row r="343">
      <c r="B343" s="47"/>
    </row>
    <row r="344">
      <c r="B344" s="47"/>
    </row>
    <row r="345">
      <c r="B345" s="47"/>
    </row>
    <row r="346">
      <c r="B346" s="47"/>
    </row>
    <row r="347">
      <c r="B347" s="47"/>
    </row>
    <row r="348">
      <c r="B348" s="47"/>
    </row>
    <row r="349">
      <c r="B349" s="47"/>
    </row>
    <row r="350">
      <c r="B350" s="47"/>
    </row>
    <row r="351">
      <c r="B351" s="47"/>
    </row>
    <row r="352">
      <c r="B352" s="47"/>
    </row>
    <row r="353">
      <c r="B353" s="47"/>
    </row>
    <row r="354">
      <c r="B354" s="47"/>
    </row>
    <row r="355">
      <c r="B355" s="47"/>
    </row>
    <row r="356">
      <c r="B356" s="47"/>
    </row>
    <row r="357">
      <c r="B357" s="47"/>
    </row>
    <row r="358">
      <c r="B358" s="47"/>
    </row>
    <row r="359">
      <c r="B359" s="47"/>
    </row>
    <row r="360">
      <c r="B360" s="47"/>
    </row>
    <row r="361">
      <c r="B361" s="47"/>
    </row>
    <row r="362">
      <c r="B362" s="47"/>
    </row>
    <row r="363">
      <c r="B363" s="47"/>
    </row>
    <row r="364">
      <c r="B364" s="47"/>
    </row>
    <row r="365">
      <c r="B365" s="47"/>
    </row>
    <row r="366">
      <c r="B366" s="47"/>
    </row>
    <row r="367">
      <c r="B367" s="47"/>
    </row>
    <row r="368">
      <c r="B368" s="47"/>
    </row>
    <row r="369">
      <c r="B369" s="47"/>
    </row>
    <row r="370">
      <c r="B370" s="47"/>
    </row>
    <row r="371">
      <c r="B371" s="47"/>
    </row>
    <row r="372">
      <c r="B372" s="47"/>
    </row>
    <row r="373">
      <c r="B373" s="47"/>
    </row>
    <row r="374">
      <c r="B374" s="47"/>
    </row>
    <row r="375">
      <c r="B375" s="47"/>
    </row>
    <row r="376">
      <c r="B376" s="47"/>
    </row>
    <row r="377">
      <c r="B377" s="47"/>
    </row>
    <row r="378">
      <c r="B378" s="47"/>
    </row>
    <row r="379">
      <c r="B379" s="47"/>
    </row>
    <row r="380">
      <c r="B380" s="47"/>
    </row>
    <row r="381">
      <c r="B381" s="47"/>
    </row>
    <row r="382">
      <c r="B382" s="47"/>
    </row>
    <row r="383">
      <c r="B383" s="47"/>
    </row>
    <row r="384">
      <c r="B384" s="47"/>
    </row>
    <row r="385">
      <c r="B385" s="47"/>
    </row>
    <row r="386">
      <c r="B386" s="47"/>
    </row>
    <row r="387">
      <c r="B387" s="47"/>
    </row>
    <row r="388">
      <c r="B388" s="47"/>
    </row>
    <row r="389">
      <c r="B389" s="47"/>
    </row>
    <row r="390">
      <c r="B390" s="47"/>
    </row>
    <row r="391">
      <c r="B391" s="47"/>
    </row>
    <row r="392">
      <c r="B392" s="47"/>
    </row>
    <row r="393">
      <c r="B393" s="47"/>
    </row>
    <row r="394">
      <c r="B394" s="47"/>
    </row>
    <row r="395">
      <c r="B395" s="47"/>
    </row>
    <row r="396">
      <c r="B396" s="47"/>
    </row>
    <row r="397">
      <c r="B397" s="47"/>
    </row>
    <row r="398">
      <c r="B398" s="47"/>
    </row>
    <row r="399">
      <c r="B399" s="47"/>
    </row>
    <row r="400">
      <c r="B400" s="47"/>
    </row>
    <row r="401">
      <c r="B401" s="47"/>
    </row>
    <row r="402">
      <c r="B402" s="47"/>
    </row>
    <row r="403">
      <c r="B403" s="47"/>
    </row>
    <row r="404">
      <c r="B404" s="47"/>
    </row>
    <row r="405">
      <c r="B405" s="47"/>
    </row>
    <row r="406">
      <c r="B406" s="47"/>
    </row>
    <row r="407">
      <c r="B407" s="47"/>
    </row>
    <row r="408">
      <c r="B408" s="47"/>
    </row>
    <row r="409">
      <c r="B409" s="47"/>
    </row>
    <row r="410">
      <c r="B410" s="47"/>
    </row>
    <row r="411">
      <c r="B411" s="47"/>
    </row>
    <row r="412">
      <c r="B412" s="47"/>
    </row>
    <row r="413">
      <c r="B413" s="47"/>
    </row>
    <row r="414">
      <c r="B414" s="47"/>
    </row>
    <row r="415">
      <c r="B415" s="47"/>
    </row>
    <row r="416">
      <c r="B416" s="47"/>
    </row>
    <row r="417">
      <c r="B417" s="47"/>
    </row>
    <row r="418">
      <c r="B418" s="47"/>
    </row>
    <row r="419">
      <c r="B419" s="47"/>
    </row>
    <row r="420">
      <c r="B420" s="47"/>
    </row>
    <row r="421">
      <c r="B421" s="47"/>
    </row>
    <row r="422">
      <c r="B422" s="47"/>
    </row>
    <row r="423">
      <c r="B423" s="47"/>
    </row>
    <row r="424">
      <c r="B424" s="47"/>
    </row>
    <row r="425">
      <c r="B425" s="47"/>
    </row>
    <row r="426">
      <c r="B426" s="47"/>
    </row>
    <row r="427">
      <c r="B427" s="47"/>
    </row>
    <row r="428">
      <c r="B428" s="47"/>
    </row>
    <row r="429">
      <c r="B429" s="47"/>
    </row>
    <row r="430">
      <c r="B430" s="47"/>
    </row>
    <row r="431">
      <c r="B431" s="47"/>
    </row>
    <row r="432">
      <c r="B432" s="47"/>
    </row>
    <row r="433">
      <c r="B433" s="47"/>
    </row>
    <row r="434">
      <c r="B434" s="47"/>
    </row>
    <row r="435">
      <c r="B435" s="47"/>
    </row>
    <row r="436">
      <c r="B436" s="47"/>
    </row>
    <row r="437">
      <c r="B437" s="47"/>
    </row>
    <row r="438">
      <c r="B438" s="47"/>
    </row>
    <row r="439">
      <c r="B439" s="47"/>
    </row>
    <row r="440">
      <c r="B440" s="47"/>
    </row>
    <row r="441">
      <c r="B441" s="47"/>
    </row>
    <row r="442">
      <c r="B442" s="47"/>
    </row>
    <row r="443">
      <c r="B443" s="47"/>
    </row>
    <row r="444">
      <c r="B444" s="47"/>
    </row>
    <row r="445">
      <c r="B445" s="47"/>
    </row>
    <row r="446">
      <c r="B446" s="47"/>
    </row>
    <row r="447">
      <c r="B447" s="47"/>
    </row>
    <row r="448">
      <c r="B448" s="47"/>
    </row>
    <row r="449">
      <c r="B449" s="47"/>
    </row>
    <row r="450">
      <c r="B450" s="47"/>
    </row>
    <row r="451">
      <c r="B451" s="47"/>
    </row>
    <row r="452">
      <c r="B452" s="47"/>
    </row>
    <row r="453">
      <c r="B453" s="47"/>
    </row>
    <row r="454">
      <c r="B454" s="47"/>
    </row>
    <row r="455">
      <c r="B455" s="47"/>
    </row>
    <row r="456">
      <c r="B456" s="47"/>
    </row>
    <row r="457">
      <c r="B457" s="47"/>
    </row>
    <row r="458">
      <c r="B458" s="47"/>
    </row>
    <row r="459">
      <c r="B459" s="47"/>
    </row>
    <row r="460">
      <c r="B460" s="47"/>
    </row>
    <row r="461">
      <c r="B461" s="47"/>
    </row>
    <row r="462">
      <c r="B462" s="47"/>
    </row>
    <row r="463">
      <c r="B463" s="47"/>
    </row>
    <row r="464">
      <c r="B464" s="47"/>
    </row>
    <row r="465">
      <c r="B465" s="47"/>
    </row>
    <row r="466">
      <c r="B466" s="47"/>
    </row>
    <row r="467">
      <c r="B467" s="47"/>
    </row>
    <row r="468">
      <c r="B468" s="47"/>
    </row>
    <row r="469">
      <c r="B469" s="47"/>
    </row>
    <row r="470">
      <c r="B470" s="47"/>
    </row>
    <row r="471">
      <c r="B471" s="47"/>
    </row>
    <row r="472">
      <c r="B472" s="47"/>
    </row>
    <row r="473">
      <c r="B473" s="47"/>
    </row>
    <row r="474">
      <c r="B474" s="47"/>
    </row>
    <row r="475">
      <c r="B475" s="47"/>
    </row>
    <row r="476">
      <c r="B476" s="47"/>
    </row>
    <row r="477">
      <c r="B477" s="47"/>
    </row>
    <row r="478">
      <c r="B478" s="47"/>
    </row>
    <row r="479">
      <c r="B479" s="47"/>
    </row>
    <row r="480">
      <c r="B480" s="47"/>
    </row>
    <row r="481">
      <c r="B481" s="47"/>
    </row>
    <row r="482">
      <c r="B482" s="47"/>
    </row>
    <row r="483">
      <c r="B483" s="47"/>
    </row>
    <row r="484">
      <c r="B484" s="47"/>
    </row>
    <row r="485">
      <c r="B485" s="47"/>
    </row>
    <row r="486">
      <c r="B486" s="47"/>
    </row>
    <row r="487">
      <c r="B487" s="47"/>
    </row>
    <row r="488">
      <c r="B488" s="47"/>
    </row>
    <row r="489">
      <c r="B489" s="47"/>
    </row>
    <row r="490">
      <c r="B490" s="47"/>
    </row>
    <row r="491">
      <c r="B491" s="47"/>
    </row>
    <row r="492">
      <c r="B492" s="47"/>
    </row>
    <row r="493">
      <c r="B493" s="47"/>
    </row>
    <row r="494">
      <c r="B494" s="47"/>
    </row>
    <row r="495">
      <c r="B495" s="47"/>
    </row>
    <row r="496">
      <c r="B496" s="47"/>
    </row>
    <row r="497">
      <c r="B497" s="47"/>
    </row>
    <row r="498">
      <c r="B498" s="47"/>
    </row>
    <row r="499">
      <c r="B499" s="47"/>
    </row>
    <row r="500">
      <c r="B500" s="47"/>
    </row>
    <row r="501">
      <c r="B501" s="47"/>
    </row>
    <row r="502">
      <c r="B502" s="47"/>
    </row>
    <row r="503">
      <c r="B503" s="47"/>
    </row>
    <row r="504">
      <c r="B504" s="47"/>
    </row>
    <row r="505">
      <c r="B505" s="47"/>
    </row>
    <row r="506">
      <c r="B506" s="47"/>
    </row>
    <row r="507">
      <c r="B507" s="47"/>
    </row>
    <row r="508">
      <c r="B508" s="47"/>
    </row>
    <row r="509">
      <c r="B509" s="47"/>
    </row>
    <row r="510">
      <c r="B510" s="47"/>
    </row>
    <row r="511">
      <c r="B511" s="47"/>
    </row>
    <row r="512">
      <c r="B512" s="47"/>
    </row>
    <row r="513">
      <c r="B513" s="47"/>
    </row>
    <row r="514">
      <c r="B514" s="47"/>
    </row>
    <row r="515">
      <c r="B515" s="47"/>
    </row>
    <row r="516">
      <c r="B516" s="47"/>
    </row>
    <row r="517">
      <c r="B517" s="47"/>
    </row>
    <row r="518">
      <c r="B518" s="47"/>
    </row>
    <row r="519">
      <c r="B519" s="47"/>
    </row>
    <row r="520">
      <c r="B520" s="47"/>
    </row>
    <row r="521">
      <c r="B521" s="47"/>
    </row>
    <row r="522">
      <c r="B522" s="47"/>
    </row>
    <row r="523">
      <c r="B523" s="47"/>
    </row>
    <row r="524">
      <c r="B524" s="47"/>
    </row>
    <row r="525">
      <c r="B525" s="47"/>
    </row>
    <row r="526">
      <c r="B526" s="47"/>
    </row>
    <row r="527">
      <c r="B527" s="47"/>
    </row>
    <row r="528">
      <c r="B528" s="47"/>
    </row>
    <row r="529">
      <c r="B529" s="47"/>
    </row>
    <row r="530">
      <c r="B530" s="47"/>
    </row>
    <row r="531">
      <c r="B531" s="47"/>
    </row>
    <row r="532">
      <c r="B532" s="47"/>
    </row>
    <row r="533">
      <c r="B533" s="47"/>
    </row>
    <row r="534">
      <c r="B534" s="47"/>
    </row>
    <row r="535">
      <c r="B535" s="47"/>
    </row>
    <row r="536">
      <c r="B536" s="47"/>
    </row>
    <row r="537">
      <c r="B537" s="47"/>
    </row>
    <row r="538">
      <c r="B538" s="47"/>
    </row>
    <row r="539">
      <c r="B539" s="47"/>
    </row>
    <row r="540">
      <c r="B540" s="47"/>
    </row>
    <row r="541">
      <c r="B541" s="47"/>
    </row>
    <row r="542">
      <c r="B542" s="47"/>
    </row>
    <row r="543">
      <c r="B543" s="47"/>
    </row>
    <row r="544">
      <c r="B544" s="47"/>
    </row>
    <row r="545">
      <c r="B545" s="47"/>
    </row>
    <row r="546">
      <c r="B546" s="47"/>
    </row>
    <row r="547">
      <c r="B547" s="47"/>
    </row>
    <row r="548">
      <c r="B548" s="47"/>
    </row>
    <row r="549">
      <c r="B549" s="47"/>
    </row>
    <row r="550">
      <c r="B550" s="47"/>
    </row>
    <row r="551">
      <c r="B551" s="47"/>
    </row>
    <row r="552">
      <c r="B552" s="47"/>
    </row>
    <row r="553">
      <c r="B553" s="47"/>
    </row>
    <row r="554">
      <c r="B554" s="47"/>
    </row>
    <row r="555">
      <c r="B555" s="47"/>
    </row>
    <row r="556">
      <c r="B556" s="47"/>
    </row>
    <row r="557">
      <c r="B557" s="47"/>
    </row>
    <row r="558">
      <c r="B558" s="47"/>
    </row>
    <row r="559">
      <c r="B559" s="47"/>
    </row>
    <row r="560">
      <c r="B560" s="47"/>
    </row>
    <row r="561">
      <c r="B561" s="47"/>
    </row>
    <row r="562">
      <c r="B562" s="47"/>
    </row>
    <row r="563">
      <c r="B563" s="47"/>
    </row>
    <row r="564">
      <c r="B564" s="47"/>
    </row>
    <row r="565">
      <c r="B565" s="47"/>
    </row>
    <row r="566">
      <c r="B566" s="47"/>
    </row>
    <row r="567">
      <c r="B567" s="47"/>
    </row>
    <row r="568">
      <c r="B568" s="47"/>
    </row>
    <row r="569">
      <c r="B569" s="47"/>
    </row>
    <row r="570">
      <c r="B570" s="47"/>
    </row>
    <row r="571">
      <c r="B571" s="47"/>
    </row>
    <row r="572">
      <c r="B572" s="47"/>
    </row>
    <row r="573">
      <c r="B573" s="47"/>
    </row>
    <row r="574">
      <c r="B574" s="47"/>
    </row>
    <row r="575">
      <c r="B575" s="47"/>
    </row>
    <row r="576">
      <c r="B576" s="47"/>
    </row>
    <row r="577">
      <c r="B577" s="47"/>
    </row>
    <row r="578">
      <c r="B578" s="47"/>
    </row>
    <row r="579">
      <c r="B579" s="47"/>
    </row>
    <row r="580">
      <c r="B580" s="47"/>
    </row>
    <row r="581">
      <c r="B581" s="47"/>
    </row>
    <row r="582">
      <c r="B582" s="47"/>
    </row>
    <row r="583">
      <c r="B583" s="47"/>
    </row>
    <row r="584">
      <c r="B584" s="47"/>
    </row>
    <row r="585">
      <c r="B585" s="47"/>
    </row>
    <row r="586">
      <c r="B586" s="47"/>
    </row>
    <row r="587">
      <c r="B587" s="47"/>
    </row>
    <row r="588">
      <c r="B588" s="47"/>
    </row>
    <row r="589">
      <c r="B589" s="47"/>
    </row>
    <row r="590">
      <c r="B590" s="47"/>
    </row>
    <row r="591">
      <c r="B591" s="47"/>
    </row>
    <row r="592">
      <c r="B592" s="47"/>
    </row>
    <row r="593">
      <c r="B593" s="47"/>
    </row>
    <row r="594">
      <c r="B594" s="47"/>
    </row>
    <row r="595">
      <c r="B595" s="47"/>
    </row>
    <row r="596">
      <c r="B596" s="47"/>
    </row>
    <row r="597">
      <c r="B597" s="47"/>
    </row>
    <row r="598">
      <c r="B598" s="47"/>
    </row>
    <row r="599">
      <c r="B599" s="47"/>
    </row>
    <row r="600">
      <c r="B600" s="47"/>
    </row>
    <row r="601">
      <c r="B601" s="47"/>
    </row>
    <row r="602">
      <c r="B602" s="47"/>
    </row>
    <row r="603">
      <c r="B603" s="47"/>
    </row>
    <row r="604">
      <c r="B604" s="47"/>
    </row>
    <row r="605">
      <c r="B605" s="47"/>
    </row>
    <row r="606">
      <c r="B606" s="47"/>
    </row>
    <row r="607">
      <c r="B607" s="47"/>
    </row>
    <row r="608">
      <c r="B608" s="47"/>
    </row>
    <row r="609">
      <c r="B609" s="47"/>
    </row>
    <row r="610">
      <c r="B610" s="47"/>
    </row>
    <row r="611">
      <c r="B611" s="47"/>
    </row>
    <row r="612">
      <c r="B612" s="47"/>
    </row>
    <row r="613">
      <c r="B613" s="47"/>
    </row>
    <row r="614">
      <c r="B614" s="47"/>
    </row>
    <row r="615">
      <c r="B615" s="47"/>
    </row>
    <row r="616">
      <c r="B616" s="47"/>
    </row>
    <row r="617">
      <c r="B617" s="47"/>
    </row>
    <row r="618">
      <c r="B618" s="47"/>
    </row>
    <row r="619">
      <c r="B619" s="47"/>
    </row>
    <row r="620">
      <c r="B620" s="47"/>
    </row>
    <row r="621">
      <c r="B621" s="47"/>
    </row>
    <row r="622">
      <c r="B622" s="47"/>
    </row>
    <row r="623">
      <c r="B623" s="47"/>
    </row>
    <row r="624">
      <c r="B624" s="47"/>
    </row>
    <row r="625">
      <c r="B625" s="47"/>
    </row>
    <row r="626">
      <c r="B626" s="47"/>
    </row>
    <row r="627">
      <c r="B627" s="47"/>
    </row>
    <row r="628">
      <c r="B628" s="47"/>
    </row>
    <row r="629">
      <c r="B629" s="47"/>
    </row>
    <row r="630">
      <c r="B630" s="47"/>
    </row>
    <row r="631">
      <c r="B631" s="47"/>
    </row>
    <row r="632">
      <c r="B632" s="47"/>
    </row>
    <row r="633">
      <c r="B633" s="47"/>
    </row>
    <row r="634">
      <c r="B634" s="47"/>
    </row>
    <row r="635">
      <c r="B635" s="47"/>
    </row>
    <row r="636">
      <c r="B636" s="47"/>
    </row>
    <row r="637">
      <c r="B637" s="47"/>
    </row>
    <row r="638">
      <c r="B638" s="47"/>
    </row>
    <row r="639">
      <c r="B639" s="47"/>
    </row>
    <row r="640">
      <c r="B640" s="47"/>
    </row>
    <row r="641">
      <c r="B641" s="47"/>
    </row>
    <row r="642">
      <c r="B642" s="47"/>
    </row>
    <row r="643">
      <c r="B643" s="47"/>
    </row>
    <row r="644">
      <c r="B644" s="47"/>
    </row>
    <row r="645">
      <c r="B645" s="47"/>
    </row>
    <row r="646">
      <c r="B646" s="47"/>
    </row>
    <row r="647">
      <c r="B647" s="47"/>
    </row>
    <row r="648">
      <c r="B648" s="47"/>
    </row>
    <row r="649">
      <c r="B649" s="47"/>
    </row>
    <row r="650">
      <c r="B650" s="47"/>
    </row>
    <row r="651">
      <c r="B651" s="47"/>
    </row>
    <row r="652">
      <c r="B652" s="47"/>
    </row>
    <row r="653">
      <c r="B653" s="47"/>
    </row>
    <row r="654">
      <c r="B654" s="47"/>
    </row>
    <row r="655">
      <c r="B655" s="47"/>
    </row>
    <row r="656">
      <c r="B656" s="47"/>
    </row>
    <row r="657">
      <c r="B657" s="47"/>
    </row>
    <row r="658">
      <c r="B658" s="47"/>
    </row>
    <row r="659">
      <c r="B659" s="47"/>
    </row>
    <row r="660">
      <c r="B660" s="47"/>
    </row>
    <row r="661">
      <c r="B661" s="47"/>
    </row>
    <row r="662">
      <c r="B662" s="47"/>
    </row>
    <row r="663">
      <c r="B663" s="47"/>
    </row>
    <row r="664">
      <c r="B664" s="47"/>
    </row>
    <row r="665">
      <c r="B665" s="47"/>
    </row>
    <row r="666">
      <c r="B666" s="47"/>
    </row>
    <row r="667">
      <c r="B667" s="47"/>
    </row>
    <row r="668">
      <c r="B668" s="47"/>
    </row>
    <row r="669">
      <c r="B669" s="47"/>
    </row>
    <row r="670">
      <c r="B670" s="47"/>
    </row>
    <row r="671">
      <c r="B671" s="47"/>
    </row>
    <row r="672">
      <c r="B672" s="47"/>
    </row>
    <row r="673">
      <c r="B673" s="47"/>
    </row>
    <row r="674">
      <c r="B674" s="47"/>
    </row>
    <row r="675">
      <c r="B675" s="47"/>
    </row>
    <row r="676">
      <c r="B676" s="47"/>
    </row>
    <row r="677">
      <c r="B677" s="47"/>
    </row>
    <row r="678">
      <c r="B678" s="47"/>
    </row>
    <row r="679">
      <c r="B679" s="47"/>
    </row>
    <row r="680">
      <c r="B680" s="47"/>
    </row>
    <row r="681">
      <c r="B681" s="47"/>
    </row>
    <row r="682">
      <c r="B682" s="47"/>
    </row>
    <row r="683">
      <c r="B683" s="47"/>
    </row>
    <row r="684">
      <c r="B684" s="47"/>
    </row>
    <row r="685">
      <c r="B685" s="47"/>
    </row>
    <row r="686">
      <c r="B686" s="47"/>
    </row>
    <row r="687">
      <c r="B687" s="47"/>
    </row>
    <row r="688">
      <c r="B688" s="47"/>
    </row>
    <row r="689">
      <c r="B689" s="47"/>
    </row>
    <row r="690">
      <c r="B690" s="47"/>
    </row>
    <row r="691">
      <c r="B691" s="47"/>
    </row>
    <row r="692">
      <c r="B692" s="47"/>
    </row>
    <row r="693">
      <c r="B693" s="47"/>
    </row>
    <row r="694">
      <c r="B694" s="47"/>
    </row>
    <row r="695">
      <c r="B695" s="47"/>
    </row>
    <row r="696">
      <c r="B696" s="47"/>
    </row>
    <row r="697">
      <c r="B697" s="47"/>
    </row>
    <row r="698">
      <c r="B698" s="47"/>
    </row>
    <row r="699">
      <c r="B699" s="47"/>
    </row>
    <row r="700">
      <c r="B700" s="47"/>
    </row>
    <row r="701">
      <c r="B701" s="47"/>
    </row>
    <row r="702">
      <c r="B702" s="47"/>
    </row>
    <row r="703">
      <c r="B703" s="47"/>
    </row>
    <row r="704">
      <c r="B704" s="47"/>
    </row>
    <row r="705">
      <c r="B705" s="47"/>
    </row>
    <row r="706">
      <c r="B706" s="47"/>
    </row>
    <row r="707">
      <c r="B707" s="47"/>
    </row>
    <row r="708">
      <c r="B708" s="47"/>
    </row>
    <row r="709">
      <c r="B709" s="47"/>
    </row>
    <row r="710">
      <c r="B710" s="47"/>
    </row>
    <row r="711">
      <c r="B711" s="47"/>
    </row>
    <row r="712">
      <c r="B712" s="47"/>
    </row>
    <row r="713">
      <c r="B713" s="47"/>
    </row>
    <row r="714">
      <c r="B714" s="47"/>
    </row>
    <row r="715">
      <c r="B715" s="47"/>
    </row>
    <row r="716">
      <c r="B716" s="47"/>
    </row>
    <row r="717">
      <c r="B717" s="47"/>
    </row>
    <row r="718">
      <c r="B718" s="47"/>
    </row>
    <row r="719">
      <c r="B719" s="47"/>
    </row>
    <row r="720">
      <c r="B720" s="47"/>
    </row>
    <row r="721">
      <c r="B721" s="47"/>
    </row>
    <row r="722">
      <c r="B722" s="47"/>
    </row>
    <row r="723">
      <c r="B723" s="47"/>
    </row>
    <row r="724">
      <c r="B724" s="47"/>
    </row>
    <row r="725">
      <c r="B725" s="47"/>
    </row>
    <row r="726">
      <c r="B726" s="47"/>
    </row>
    <row r="727">
      <c r="B727" s="47"/>
    </row>
    <row r="728">
      <c r="B728" s="47"/>
    </row>
    <row r="729">
      <c r="B729" s="47"/>
    </row>
    <row r="730">
      <c r="B730" s="47"/>
    </row>
    <row r="731">
      <c r="B731" s="47"/>
    </row>
    <row r="732">
      <c r="B732" s="47"/>
    </row>
    <row r="733">
      <c r="B733" s="47"/>
    </row>
    <row r="734">
      <c r="B734" s="47"/>
    </row>
    <row r="735">
      <c r="B735" s="47"/>
    </row>
    <row r="736">
      <c r="B736" s="47"/>
    </row>
    <row r="737">
      <c r="B737" s="47"/>
    </row>
    <row r="738">
      <c r="B738" s="47"/>
    </row>
    <row r="739">
      <c r="B739" s="47"/>
    </row>
    <row r="740">
      <c r="B740" s="47"/>
    </row>
    <row r="741">
      <c r="B741" s="47"/>
    </row>
    <row r="742">
      <c r="B742" s="47"/>
    </row>
    <row r="743">
      <c r="B743" s="47"/>
    </row>
    <row r="744">
      <c r="B744" s="47"/>
    </row>
    <row r="745">
      <c r="B745" s="47"/>
    </row>
    <row r="746">
      <c r="B746" s="47"/>
    </row>
    <row r="747">
      <c r="B747" s="47"/>
    </row>
    <row r="748">
      <c r="B748" s="47"/>
    </row>
    <row r="749">
      <c r="B749" s="47"/>
    </row>
    <row r="750">
      <c r="B750" s="47"/>
    </row>
    <row r="751">
      <c r="B751" s="47"/>
    </row>
    <row r="752">
      <c r="B752" s="47"/>
    </row>
    <row r="753">
      <c r="B753" s="47"/>
    </row>
    <row r="754">
      <c r="B754" s="47"/>
    </row>
    <row r="755">
      <c r="B755" s="47"/>
    </row>
    <row r="756">
      <c r="B756" s="47"/>
    </row>
    <row r="757">
      <c r="B757" s="47"/>
    </row>
    <row r="758">
      <c r="B758" s="47"/>
    </row>
    <row r="759">
      <c r="B759" s="47"/>
    </row>
    <row r="760">
      <c r="B760" s="47"/>
    </row>
    <row r="761">
      <c r="B761" s="47"/>
    </row>
    <row r="762">
      <c r="B762" s="47"/>
    </row>
    <row r="763">
      <c r="B763" s="47"/>
    </row>
    <row r="764">
      <c r="B764" s="47"/>
    </row>
    <row r="765">
      <c r="B765" s="47"/>
    </row>
    <row r="766">
      <c r="B766" s="47"/>
    </row>
    <row r="767">
      <c r="B767" s="47"/>
    </row>
    <row r="768">
      <c r="B768" s="47"/>
    </row>
    <row r="769">
      <c r="B769" s="47"/>
    </row>
    <row r="770">
      <c r="B770" s="47"/>
    </row>
    <row r="771">
      <c r="B771" s="47"/>
    </row>
    <row r="772">
      <c r="B772" s="47"/>
    </row>
    <row r="773">
      <c r="B773" s="47"/>
    </row>
    <row r="774">
      <c r="B774" s="47"/>
    </row>
    <row r="775">
      <c r="B775" s="47"/>
    </row>
    <row r="776">
      <c r="B776" s="47"/>
    </row>
    <row r="777">
      <c r="B777" s="47"/>
    </row>
    <row r="778">
      <c r="B778" s="47"/>
    </row>
    <row r="779">
      <c r="B779" s="47"/>
    </row>
    <row r="780">
      <c r="B780" s="47"/>
    </row>
    <row r="781">
      <c r="B781" s="47"/>
    </row>
    <row r="782">
      <c r="B782" s="47"/>
    </row>
    <row r="783">
      <c r="B783" s="47"/>
    </row>
    <row r="784">
      <c r="B784" s="47"/>
    </row>
    <row r="785">
      <c r="B785" s="47"/>
    </row>
    <row r="786">
      <c r="B786" s="47"/>
    </row>
    <row r="787">
      <c r="B787" s="47"/>
    </row>
    <row r="788">
      <c r="B788" s="47"/>
    </row>
    <row r="789">
      <c r="B789" s="47"/>
    </row>
    <row r="790">
      <c r="B790" s="47"/>
    </row>
    <row r="791">
      <c r="B791" s="47"/>
    </row>
    <row r="792">
      <c r="B792" s="47"/>
    </row>
    <row r="793">
      <c r="B793" s="47"/>
    </row>
    <row r="794">
      <c r="B794" s="47"/>
    </row>
    <row r="795">
      <c r="B795" s="47"/>
    </row>
    <row r="796">
      <c r="B796" s="47"/>
    </row>
    <row r="797">
      <c r="B797" s="47"/>
    </row>
    <row r="798">
      <c r="B798" s="47"/>
    </row>
    <row r="799">
      <c r="B799" s="47"/>
    </row>
    <row r="800">
      <c r="B800" s="47"/>
    </row>
    <row r="801">
      <c r="B801" s="47"/>
    </row>
    <row r="802">
      <c r="B802" s="47"/>
    </row>
    <row r="803">
      <c r="B803" s="47"/>
    </row>
    <row r="804">
      <c r="B804" s="47"/>
    </row>
    <row r="805">
      <c r="B805" s="47"/>
    </row>
    <row r="806">
      <c r="B806" s="47"/>
    </row>
    <row r="807">
      <c r="B807" s="47"/>
    </row>
    <row r="808">
      <c r="B808" s="47"/>
    </row>
    <row r="809">
      <c r="B809" s="47"/>
    </row>
    <row r="810">
      <c r="B810" s="47"/>
    </row>
    <row r="811">
      <c r="B811" s="47"/>
    </row>
    <row r="812">
      <c r="B812" s="47"/>
    </row>
    <row r="813">
      <c r="B813" s="47"/>
    </row>
    <row r="814">
      <c r="B814" s="47"/>
    </row>
    <row r="815">
      <c r="B815" s="47"/>
    </row>
    <row r="816">
      <c r="B816" s="47"/>
    </row>
    <row r="817">
      <c r="B817" s="47"/>
    </row>
    <row r="818">
      <c r="B818" s="47"/>
    </row>
    <row r="819">
      <c r="B819" s="47"/>
    </row>
    <row r="820">
      <c r="B820" s="47"/>
    </row>
    <row r="821">
      <c r="B821" s="47"/>
    </row>
    <row r="822">
      <c r="B822" s="47"/>
    </row>
    <row r="823">
      <c r="B823" s="47"/>
    </row>
    <row r="824">
      <c r="B824" s="47"/>
    </row>
    <row r="825">
      <c r="B825" s="47"/>
    </row>
    <row r="826">
      <c r="B826" s="47"/>
    </row>
    <row r="827">
      <c r="B827" s="47"/>
    </row>
    <row r="828">
      <c r="B828" s="47"/>
    </row>
    <row r="829">
      <c r="B829" s="47"/>
    </row>
    <row r="830">
      <c r="B830" s="47"/>
    </row>
    <row r="831">
      <c r="B831" s="47"/>
    </row>
    <row r="832">
      <c r="B832" s="47"/>
    </row>
    <row r="833">
      <c r="B833" s="47"/>
    </row>
    <row r="834">
      <c r="B834" s="47"/>
    </row>
    <row r="835">
      <c r="B835" s="47"/>
    </row>
    <row r="836">
      <c r="B836" s="47"/>
    </row>
    <row r="837">
      <c r="B837" s="47"/>
    </row>
    <row r="838">
      <c r="B838" s="47"/>
    </row>
    <row r="839">
      <c r="B839" s="47"/>
    </row>
    <row r="840">
      <c r="B840" s="47"/>
    </row>
    <row r="841">
      <c r="B841" s="47"/>
    </row>
    <row r="842">
      <c r="B842" s="47"/>
    </row>
    <row r="843">
      <c r="B843" s="47"/>
    </row>
    <row r="844">
      <c r="B844" s="47"/>
    </row>
    <row r="845">
      <c r="B845" s="47"/>
    </row>
    <row r="846">
      <c r="B846" s="47"/>
    </row>
    <row r="847">
      <c r="B847" s="47"/>
    </row>
    <row r="848">
      <c r="B848" s="47"/>
    </row>
    <row r="849">
      <c r="B849" s="47"/>
    </row>
    <row r="850">
      <c r="B850" s="47"/>
    </row>
    <row r="851">
      <c r="B851" s="47"/>
    </row>
    <row r="852">
      <c r="B852" s="47"/>
    </row>
    <row r="853">
      <c r="B853" s="47"/>
    </row>
    <row r="854">
      <c r="B854" s="47"/>
    </row>
    <row r="855">
      <c r="B855" s="47"/>
    </row>
    <row r="856">
      <c r="B856" s="47"/>
    </row>
    <row r="857">
      <c r="B857" s="47"/>
    </row>
    <row r="858">
      <c r="B858" s="47"/>
    </row>
    <row r="859">
      <c r="B859" s="47"/>
    </row>
    <row r="860">
      <c r="B860" s="47"/>
    </row>
    <row r="861">
      <c r="B861" s="47"/>
    </row>
    <row r="862">
      <c r="B862" s="47"/>
    </row>
    <row r="863">
      <c r="B863" s="47"/>
    </row>
    <row r="864">
      <c r="B864" s="47"/>
    </row>
    <row r="865">
      <c r="B865" s="47"/>
    </row>
    <row r="866">
      <c r="B866" s="47"/>
    </row>
    <row r="867">
      <c r="B867" s="47"/>
    </row>
    <row r="868">
      <c r="B868" s="47"/>
    </row>
    <row r="869">
      <c r="B869" s="47"/>
    </row>
    <row r="870">
      <c r="B870" s="47"/>
    </row>
    <row r="871">
      <c r="B871" s="47"/>
    </row>
    <row r="872">
      <c r="B872" s="47"/>
    </row>
    <row r="873">
      <c r="B873" s="47"/>
    </row>
    <row r="874">
      <c r="B874" s="47"/>
    </row>
    <row r="875">
      <c r="B875" s="47"/>
    </row>
    <row r="876">
      <c r="B876" s="47"/>
    </row>
    <row r="877">
      <c r="B877" s="47"/>
    </row>
    <row r="878">
      <c r="B878" s="47"/>
    </row>
    <row r="879">
      <c r="B879" s="47"/>
    </row>
    <row r="880">
      <c r="B880" s="47"/>
    </row>
    <row r="881">
      <c r="B881" s="47"/>
    </row>
    <row r="882">
      <c r="B882" s="47"/>
    </row>
    <row r="883">
      <c r="B883" s="47"/>
    </row>
    <row r="884">
      <c r="B884" s="47"/>
    </row>
    <row r="885">
      <c r="B885" s="47"/>
    </row>
    <row r="886">
      <c r="B886" s="47"/>
    </row>
    <row r="887">
      <c r="B887" s="47"/>
    </row>
    <row r="888">
      <c r="B888" s="47"/>
    </row>
    <row r="889">
      <c r="B889" s="47"/>
    </row>
    <row r="890">
      <c r="B890" s="47"/>
    </row>
    <row r="891">
      <c r="B891" s="47"/>
    </row>
    <row r="892">
      <c r="B892" s="47"/>
    </row>
    <row r="893">
      <c r="B893" s="47"/>
    </row>
    <row r="894">
      <c r="B894" s="47"/>
    </row>
    <row r="895">
      <c r="B895" s="47"/>
    </row>
    <row r="896">
      <c r="B896" s="47"/>
    </row>
    <row r="897">
      <c r="B897" s="47"/>
    </row>
    <row r="898">
      <c r="B898" s="47"/>
    </row>
    <row r="899">
      <c r="B899" s="47"/>
    </row>
    <row r="900">
      <c r="B900" s="47"/>
    </row>
    <row r="901">
      <c r="B901" s="47"/>
    </row>
    <row r="902">
      <c r="B902" s="47"/>
    </row>
    <row r="903">
      <c r="B903" s="47"/>
    </row>
    <row r="904">
      <c r="B904" s="47"/>
    </row>
    <row r="905">
      <c r="B905" s="47"/>
    </row>
    <row r="906">
      <c r="B906" s="47"/>
    </row>
    <row r="907">
      <c r="B907" s="47"/>
    </row>
    <row r="908">
      <c r="B908" s="47"/>
    </row>
    <row r="909">
      <c r="B909" s="47"/>
    </row>
    <row r="910">
      <c r="B910" s="47"/>
    </row>
    <row r="911">
      <c r="B911" s="47"/>
    </row>
    <row r="912">
      <c r="B912" s="47"/>
    </row>
    <row r="913">
      <c r="B913" s="47"/>
    </row>
    <row r="914">
      <c r="B914" s="47"/>
    </row>
    <row r="915">
      <c r="B915" s="47"/>
    </row>
    <row r="916">
      <c r="B916" s="47"/>
    </row>
    <row r="917">
      <c r="B917" s="47"/>
    </row>
    <row r="918">
      <c r="B918" s="47"/>
    </row>
    <row r="919">
      <c r="B919" s="47"/>
    </row>
    <row r="920">
      <c r="B920" s="47"/>
    </row>
    <row r="921">
      <c r="B921" s="47"/>
    </row>
    <row r="922">
      <c r="B922" s="47"/>
    </row>
    <row r="923">
      <c r="B923" s="47"/>
    </row>
    <row r="924">
      <c r="B924" s="47"/>
    </row>
    <row r="925">
      <c r="B925" s="47"/>
    </row>
    <row r="926">
      <c r="B926" s="47"/>
    </row>
    <row r="927">
      <c r="B927" s="47"/>
    </row>
    <row r="928">
      <c r="B928" s="47"/>
    </row>
    <row r="929">
      <c r="B929" s="47"/>
    </row>
    <row r="930">
      <c r="B930" s="47"/>
    </row>
    <row r="931">
      <c r="B931" s="47"/>
    </row>
    <row r="932">
      <c r="B932" s="47"/>
    </row>
    <row r="933">
      <c r="B933" s="47"/>
    </row>
    <row r="934">
      <c r="B934" s="47"/>
    </row>
    <row r="935">
      <c r="B935" s="47"/>
    </row>
    <row r="936">
      <c r="B936" s="47"/>
    </row>
    <row r="937">
      <c r="B937" s="47"/>
    </row>
    <row r="938">
      <c r="B938" s="47"/>
    </row>
    <row r="939">
      <c r="B939" s="47"/>
    </row>
    <row r="940">
      <c r="B940" s="47"/>
    </row>
    <row r="941">
      <c r="B941" s="47"/>
    </row>
    <row r="942">
      <c r="B942" s="47"/>
    </row>
    <row r="943">
      <c r="B943" s="47"/>
    </row>
    <row r="944">
      <c r="B944" s="47"/>
    </row>
    <row r="945">
      <c r="B945" s="47"/>
    </row>
    <row r="946">
      <c r="B946" s="47"/>
    </row>
    <row r="947">
      <c r="B947" s="47"/>
    </row>
    <row r="948">
      <c r="B948" s="47"/>
    </row>
    <row r="949">
      <c r="B949" s="47"/>
    </row>
    <row r="950">
      <c r="B950" s="47"/>
    </row>
    <row r="951">
      <c r="B951" s="47"/>
    </row>
    <row r="952">
      <c r="B952" s="47"/>
    </row>
    <row r="953">
      <c r="B953" s="47"/>
    </row>
    <row r="954">
      <c r="B954" s="47"/>
    </row>
    <row r="955">
      <c r="B955" s="47"/>
    </row>
    <row r="956">
      <c r="B956" s="47"/>
    </row>
    <row r="957">
      <c r="B957" s="47"/>
    </row>
    <row r="958">
      <c r="B958" s="47"/>
    </row>
    <row r="959">
      <c r="B959" s="47"/>
    </row>
    <row r="960">
      <c r="B960" s="47"/>
    </row>
    <row r="961">
      <c r="B961" s="47"/>
    </row>
    <row r="962">
      <c r="B962" s="47"/>
    </row>
    <row r="963">
      <c r="B963" s="47"/>
    </row>
    <row r="964">
      <c r="B964" s="47"/>
    </row>
    <row r="965">
      <c r="B965" s="47"/>
    </row>
    <row r="966">
      <c r="B966" s="47"/>
    </row>
    <row r="967">
      <c r="B967" s="47"/>
    </row>
    <row r="968">
      <c r="B968" s="47"/>
    </row>
    <row r="969">
      <c r="B969" s="47"/>
    </row>
    <row r="970">
      <c r="B970" s="47"/>
    </row>
    <row r="971">
      <c r="B971" s="47"/>
    </row>
    <row r="972">
      <c r="B972" s="47"/>
    </row>
    <row r="973">
      <c r="B973" s="47"/>
    </row>
    <row r="974">
      <c r="B974" s="47"/>
    </row>
    <row r="975">
      <c r="B975" s="47"/>
    </row>
    <row r="976">
      <c r="B976" s="47"/>
    </row>
    <row r="977">
      <c r="B977" s="47"/>
    </row>
    <row r="978">
      <c r="B978" s="47"/>
    </row>
    <row r="979">
      <c r="B979" s="47"/>
    </row>
    <row r="980">
      <c r="B980" s="47"/>
    </row>
    <row r="981">
      <c r="B981" s="47"/>
    </row>
    <row r="982">
      <c r="B982" s="47"/>
    </row>
    <row r="983">
      <c r="B983" s="47"/>
    </row>
    <row r="984">
      <c r="B984" s="47"/>
    </row>
    <row r="985">
      <c r="B985" s="47"/>
    </row>
    <row r="986">
      <c r="B986" s="47"/>
    </row>
    <row r="987">
      <c r="B987" s="47"/>
    </row>
    <row r="988">
      <c r="B988" s="47"/>
    </row>
    <row r="989">
      <c r="B989" s="47"/>
    </row>
    <row r="990">
      <c r="B990" s="47"/>
    </row>
    <row r="991">
      <c r="B991" s="47"/>
    </row>
    <row r="992">
      <c r="B992" s="47"/>
    </row>
    <row r="993">
      <c r="B993" s="47"/>
    </row>
    <row r="994">
      <c r="B994" s="47"/>
    </row>
    <row r="995">
      <c r="B995" s="47"/>
    </row>
    <row r="996">
      <c r="B996" s="47"/>
    </row>
    <row r="997">
      <c r="B997" s="47"/>
    </row>
    <row r="998">
      <c r="B998" s="47"/>
    </row>
    <row r="999">
      <c r="B999" s="47"/>
    </row>
    <row r="1000">
      <c r="B1000" s="47"/>
    </row>
    <row r="1001">
      <c r="B1001" s="47"/>
    </row>
    <row r="1002">
      <c r="B1002" s="47"/>
    </row>
    <row r="1003">
      <c r="B1003" s="47"/>
    </row>
    <row r="1004">
      <c r="B1004" s="47"/>
    </row>
    <row r="1005">
      <c r="B1005" s="47"/>
    </row>
    <row r="1006">
      <c r="B1006" s="47"/>
    </row>
    <row r="1007">
      <c r="B1007" s="47"/>
    </row>
    <row r="1008">
      <c r="B1008" s="47"/>
    </row>
    <row r="1009">
      <c r="B1009" s="47"/>
    </row>
  </sheetData>
  <mergeCells count="1">
    <mergeCell ref="A36:B36"/>
  </mergeCells>
  <hyperlinks>
    <hyperlink r:id="rId1" ref="A36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38.63"/>
  </cols>
  <sheetData>
    <row r="1">
      <c r="A1" s="17" t="s">
        <v>28</v>
      </c>
      <c r="B1" s="27" t="s">
        <v>29</v>
      </c>
    </row>
    <row r="2">
      <c r="A2" s="19" t="s">
        <v>54</v>
      </c>
      <c r="B2" s="20">
        <v>11146.0</v>
      </c>
    </row>
    <row r="3">
      <c r="A3" s="19" t="s">
        <v>34</v>
      </c>
      <c r="B3" s="20">
        <v>87678.0</v>
      </c>
    </row>
    <row r="4">
      <c r="A4" s="19" t="s">
        <v>33</v>
      </c>
      <c r="B4" s="20">
        <v>316363.0</v>
      </c>
    </row>
    <row r="5">
      <c r="A5" s="19" t="s">
        <v>308</v>
      </c>
      <c r="B5" s="20">
        <v>5464.0</v>
      </c>
    </row>
    <row r="6">
      <c r="A6" s="19" t="s">
        <v>309</v>
      </c>
      <c r="B6" s="20">
        <v>120167.0</v>
      </c>
    </row>
    <row r="7">
      <c r="A7" s="19" t="s">
        <v>310</v>
      </c>
      <c r="B7" s="20">
        <v>804175.0</v>
      </c>
    </row>
    <row r="8">
      <c r="A8" s="19" t="s">
        <v>55</v>
      </c>
      <c r="B8" s="20">
        <v>17160.0</v>
      </c>
    </row>
    <row r="9">
      <c r="A9" s="19" t="s">
        <v>311</v>
      </c>
      <c r="B9" s="20">
        <v>143176.0</v>
      </c>
    </row>
    <row r="10">
      <c r="A10" s="19" t="s">
        <v>312</v>
      </c>
      <c r="B10" s="20">
        <v>19439.0</v>
      </c>
    </row>
    <row r="11">
      <c r="A11" s="19" t="s">
        <v>37</v>
      </c>
      <c r="B11" s="20">
        <v>124295.0</v>
      </c>
    </row>
    <row r="12">
      <c r="A12" s="19" t="s">
        <v>196</v>
      </c>
      <c r="B12" s="20">
        <v>480340.0</v>
      </c>
    </row>
    <row r="13">
      <c r="A13" s="19" t="s">
        <v>313</v>
      </c>
      <c r="B13" s="20">
        <v>4738.0</v>
      </c>
    </row>
    <row r="14">
      <c r="A14" s="19" t="s">
        <v>314</v>
      </c>
      <c r="B14" s="20">
        <v>22827.0</v>
      </c>
    </row>
    <row r="15">
      <c r="A15" s="19" t="s">
        <v>45</v>
      </c>
      <c r="B15" s="20">
        <v>21815.0</v>
      </c>
    </row>
    <row r="16">
      <c r="A16" s="19" t="s">
        <v>315</v>
      </c>
      <c r="B16" s="20">
        <v>35523.0</v>
      </c>
    </row>
    <row r="17">
      <c r="A17" s="19" t="s">
        <v>316</v>
      </c>
      <c r="B17" s="20">
        <v>44932.0</v>
      </c>
    </row>
    <row r="18">
      <c r="A18" s="19" t="s">
        <v>58</v>
      </c>
      <c r="B18" s="20">
        <v>45402.0</v>
      </c>
    </row>
    <row r="19">
      <c r="A19" s="19" t="s">
        <v>317</v>
      </c>
      <c r="B19" s="20">
        <v>121427.0</v>
      </c>
    </row>
    <row r="20">
      <c r="A20" s="19" t="s">
        <v>318</v>
      </c>
      <c r="B20" s="20">
        <v>86000.0</v>
      </c>
    </row>
    <row r="21">
      <c r="A21" s="19" t="s">
        <v>319</v>
      </c>
      <c r="B21" s="20">
        <v>18000.0</v>
      </c>
    </row>
    <row r="22">
      <c r="A22" s="21" t="s">
        <v>69</v>
      </c>
      <c r="B22" s="22">
        <f>SUM(B2:B21)</f>
        <v>2530067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B23" s="25"/>
    </row>
    <row r="24">
      <c r="A24" s="50" t="s">
        <v>320</v>
      </c>
    </row>
    <row r="25">
      <c r="A25" s="1" t="s">
        <v>52</v>
      </c>
      <c r="B25" s="25"/>
    </row>
    <row r="26">
      <c r="B26" s="25"/>
    </row>
    <row r="27">
      <c r="B27" s="25"/>
    </row>
    <row r="28">
      <c r="B28" s="25"/>
    </row>
    <row r="29">
      <c r="B29" s="25"/>
    </row>
    <row r="30">
      <c r="B30" s="25"/>
    </row>
    <row r="31">
      <c r="B31" s="25"/>
    </row>
    <row r="32">
      <c r="B32" s="25"/>
    </row>
    <row r="33">
      <c r="B33" s="25"/>
    </row>
    <row r="34">
      <c r="B34" s="25"/>
    </row>
    <row r="35">
      <c r="B35" s="25"/>
    </row>
    <row r="36">
      <c r="B36" s="25"/>
    </row>
    <row r="37">
      <c r="B37" s="25"/>
    </row>
    <row r="38">
      <c r="B38" s="25"/>
    </row>
    <row r="39">
      <c r="B39" s="25"/>
    </row>
    <row r="40">
      <c r="B40" s="25"/>
    </row>
    <row r="41">
      <c r="B41" s="25"/>
    </row>
    <row r="42">
      <c r="B42" s="25"/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</sheetData>
  <mergeCells count="1">
    <mergeCell ref="A24:B24"/>
  </mergeCells>
  <hyperlinks>
    <hyperlink r:id="rId1" ref="A2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38.63"/>
  </cols>
  <sheetData>
    <row r="1">
      <c r="A1" s="17" t="s">
        <v>28</v>
      </c>
      <c r="B1" s="27" t="s">
        <v>53</v>
      </c>
    </row>
    <row r="2">
      <c r="A2" s="19" t="s">
        <v>54</v>
      </c>
      <c r="B2" s="20">
        <v>17500.0</v>
      </c>
    </row>
    <row r="3">
      <c r="A3" s="19" t="s">
        <v>33</v>
      </c>
      <c r="B3" s="20">
        <v>155008.0</v>
      </c>
    </row>
    <row r="4">
      <c r="A4" s="19" t="s">
        <v>34</v>
      </c>
      <c r="B4" s="20">
        <v>99666.0</v>
      </c>
    </row>
    <row r="5">
      <c r="A5" s="53" t="s">
        <v>36</v>
      </c>
      <c r="B5" s="54">
        <v>298419.0</v>
      </c>
    </row>
    <row r="6">
      <c r="A6" s="19" t="s">
        <v>55</v>
      </c>
      <c r="B6" s="20">
        <v>19785.0</v>
      </c>
    </row>
    <row r="7">
      <c r="A7" s="19" t="s">
        <v>56</v>
      </c>
      <c r="B7" s="20">
        <v>71509.0</v>
      </c>
    </row>
    <row r="8">
      <c r="A8" s="19" t="s">
        <v>186</v>
      </c>
      <c r="B8" s="20">
        <v>119940.0</v>
      </c>
    </row>
    <row r="9">
      <c r="A9" s="53" t="s">
        <v>37</v>
      </c>
      <c r="B9" s="54">
        <v>47002.0</v>
      </c>
    </row>
    <row r="10">
      <c r="A10" s="19" t="s">
        <v>321</v>
      </c>
      <c r="B10" s="20">
        <v>401913.0</v>
      </c>
    </row>
    <row r="11">
      <c r="A11" s="19" t="s">
        <v>322</v>
      </c>
      <c r="B11" s="20">
        <v>394910.0</v>
      </c>
    </row>
    <row r="12">
      <c r="A12" s="19" t="s">
        <v>323</v>
      </c>
      <c r="B12" s="20">
        <v>30507.0</v>
      </c>
    </row>
    <row r="13">
      <c r="A13" s="19" t="s">
        <v>58</v>
      </c>
      <c r="B13" s="20">
        <v>17723.0</v>
      </c>
    </row>
    <row r="14">
      <c r="A14" s="19" t="s">
        <v>59</v>
      </c>
      <c r="B14" s="20">
        <v>32052.0</v>
      </c>
    </row>
    <row r="15">
      <c r="A15" s="19" t="s">
        <v>324</v>
      </c>
      <c r="B15" s="20">
        <v>7986.0</v>
      </c>
    </row>
    <row r="16">
      <c r="A16" s="19" t="s">
        <v>325</v>
      </c>
      <c r="B16" s="20">
        <v>17238.0</v>
      </c>
    </row>
    <row r="17">
      <c r="A17" s="53" t="s">
        <v>44</v>
      </c>
      <c r="B17" s="54">
        <v>51723.0</v>
      </c>
    </row>
    <row r="18">
      <c r="A18" s="19" t="s">
        <v>62</v>
      </c>
      <c r="B18" s="20">
        <v>357729.0</v>
      </c>
    </row>
    <row r="19">
      <c r="A19" s="19" t="s">
        <v>45</v>
      </c>
      <c r="B19" s="20">
        <v>16942.0</v>
      </c>
    </row>
    <row r="20">
      <c r="A20" s="19" t="s">
        <v>63</v>
      </c>
      <c r="B20" s="20">
        <v>49797.0</v>
      </c>
    </row>
    <row r="21">
      <c r="A21" s="19" t="s">
        <v>204</v>
      </c>
      <c r="B21" s="20">
        <v>5463.0</v>
      </c>
    </row>
    <row r="22">
      <c r="A22" s="19" t="s">
        <v>68</v>
      </c>
      <c r="B22" s="20">
        <v>36261.0</v>
      </c>
    </row>
    <row r="23">
      <c r="A23" s="21" t="s">
        <v>69</v>
      </c>
      <c r="B23" s="22">
        <f>SUM(B2:B22)</f>
        <v>2249073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B24" s="25"/>
    </row>
    <row r="25">
      <c r="A25" s="50" t="s">
        <v>326</v>
      </c>
    </row>
    <row r="26">
      <c r="A26" s="1" t="s">
        <v>52</v>
      </c>
      <c r="B26" s="25"/>
    </row>
    <row r="27">
      <c r="B27" s="25"/>
    </row>
    <row r="28">
      <c r="B28" s="25"/>
    </row>
    <row r="29">
      <c r="B29" s="25"/>
    </row>
    <row r="30">
      <c r="B30" s="25"/>
    </row>
    <row r="31">
      <c r="B31" s="25"/>
    </row>
    <row r="32">
      <c r="B32" s="25"/>
    </row>
    <row r="33">
      <c r="B33" s="25"/>
    </row>
    <row r="34">
      <c r="B34" s="25"/>
    </row>
    <row r="35">
      <c r="B35" s="25"/>
    </row>
    <row r="36">
      <c r="B36" s="25"/>
    </row>
    <row r="37">
      <c r="B37" s="25"/>
    </row>
    <row r="38">
      <c r="B38" s="25"/>
    </row>
    <row r="39">
      <c r="B39" s="25"/>
    </row>
    <row r="40">
      <c r="B40" s="25"/>
    </row>
    <row r="41">
      <c r="B41" s="25"/>
    </row>
    <row r="42">
      <c r="B42" s="25"/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  <row r="998">
      <c r="B998" s="25"/>
    </row>
  </sheetData>
  <mergeCells count="1">
    <mergeCell ref="A25:B25"/>
  </mergeCells>
  <hyperlinks>
    <hyperlink r:id="rId1" ref="A25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38.63"/>
  </cols>
  <sheetData>
    <row r="1">
      <c r="A1" s="17" t="s">
        <v>28</v>
      </c>
      <c r="B1" s="27" t="s">
        <v>53</v>
      </c>
    </row>
    <row r="2">
      <c r="A2" s="19" t="s">
        <v>54</v>
      </c>
      <c r="B2" s="20">
        <v>17250.0</v>
      </c>
    </row>
    <row r="3">
      <c r="A3" s="19" t="s">
        <v>33</v>
      </c>
      <c r="B3" s="20">
        <v>69043.0</v>
      </c>
    </row>
    <row r="4">
      <c r="A4" s="19" t="s">
        <v>34</v>
      </c>
      <c r="B4" s="20">
        <v>122495.0</v>
      </c>
    </row>
    <row r="5">
      <c r="A5" s="53" t="s">
        <v>327</v>
      </c>
      <c r="B5" s="54">
        <v>351684.0</v>
      </c>
    </row>
    <row r="6">
      <c r="A6" s="19" t="s">
        <v>55</v>
      </c>
      <c r="B6" s="20">
        <v>86676.0</v>
      </c>
    </row>
    <row r="7">
      <c r="A7" s="19" t="s">
        <v>56</v>
      </c>
      <c r="B7" s="20">
        <v>103739.0</v>
      </c>
    </row>
    <row r="8">
      <c r="A8" s="19" t="s">
        <v>186</v>
      </c>
      <c r="B8" s="20">
        <v>129167.0</v>
      </c>
    </row>
    <row r="9">
      <c r="A9" s="19" t="s">
        <v>328</v>
      </c>
      <c r="B9" s="20">
        <v>200939.0</v>
      </c>
    </row>
    <row r="10">
      <c r="A10" s="19" t="s">
        <v>329</v>
      </c>
      <c r="B10" s="20">
        <v>78904.0</v>
      </c>
    </row>
    <row r="11">
      <c r="A11" s="19" t="s">
        <v>330</v>
      </c>
      <c r="B11" s="20">
        <v>2921.0</v>
      </c>
    </row>
    <row r="12">
      <c r="A12" s="53" t="s">
        <v>196</v>
      </c>
      <c r="B12" s="54">
        <v>792194.0</v>
      </c>
    </row>
    <row r="13">
      <c r="A13" s="19" t="s">
        <v>39</v>
      </c>
      <c r="B13" s="20">
        <v>24131.0</v>
      </c>
    </row>
    <row r="14">
      <c r="A14" s="19" t="s">
        <v>331</v>
      </c>
      <c r="B14" s="20">
        <v>48895.0</v>
      </c>
    </row>
    <row r="15">
      <c r="A15" s="19" t="s">
        <v>58</v>
      </c>
      <c r="B15" s="20">
        <v>23421.0</v>
      </c>
    </row>
    <row r="16">
      <c r="A16" s="19" t="s">
        <v>298</v>
      </c>
      <c r="B16" s="20">
        <v>383.0</v>
      </c>
    </row>
    <row r="17">
      <c r="A17" s="19" t="s">
        <v>59</v>
      </c>
      <c r="B17" s="20">
        <v>17519.0</v>
      </c>
    </row>
    <row r="18">
      <c r="A18" s="19" t="s">
        <v>165</v>
      </c>
      <c r="B18" s="20">
        <v>4122.0</v>
      </c>
    </row>
    <row r="19">
      <c r="A19" s="19" t="s">
        <v>332</v>
      </c>
      <c r="B19" s="20">
        <v>11314.0</v>
      </c>
    </row>
    <row r="20">
      <c r="A20" s="19" t="s">
        <v>61</v>
      </c>
      <c r="B20" s="20">
        <v>47351.0</v>
      </c>
    </row>
    <row r="21">
      <c r="A21" s="53" t="s">
        <v>44</v>
      </c>
      <c r="B21" s="54">
        <v>579431.0</v>
      </c>
    </row>
    <row r="22">
      <c r="A22" s="19" t="s">
        <v>62</v>
      </c>
      <c r="B22" s="20">
        <v>96312.0</v>
      </c>
    </row>
    <row r="23">
      <c r="A23" s="19" t="s">
        <v>45</v>
      </c>
      <c r="B23" s="20">
        <v>10050.0</v>
      </c>
    </row>
    <row r="24">
      <c r="A24" s="19" t="s">
        <v>63</v>
      </c>
      <c r="B24" s="20">
        <v>36407.0</v>
      </c>
    </row>
    <row r="25">
      <c r="A25" s="19" t="s">
        <v>204</v>
      </c>
      <c r="B25" s="20">
        <v>3820.0</v>
      </c>
    </row>
    <row r="26">
      <c r="A26" s="19" t="s">
        <v>333</v>
      </c>
      <c r="B26" s="20">
        <v>1610.0</v>
      </c>
    </row>
    <row r="27">
      <c r="A27" s="19" t="s">
        <v>67</v>
      </c>
      <c r="B27" s="20">
        <v>6570.0</v>
      </c>
    </row>
    <row r="28">
      <c r="A28" s="19" t="s">
        <v>65</v>
      </c>
      <c r="B28" s="20">
        <v>868000.0</v>
      </c>
    </row>
    <row r="29">
      <c r="A29" s="19" t="s">
        <v>334</v>
      </c>
      <c r="B29" s="20">
        <v>3732.0</v>
      </c>
    </row>
    <row r="30">
      <c r="A30" s="19" t="s">
        <v>335</v>
      </c>
      <c r="B30" s="20">
        <v>7236.0</v>
      </c>
    </row>
    <row r="31">
      <c r="A31" s="21" t="s">
        <v>69</v>
      </c>
      <c r="B31" s="22">
        <f>SUM(B2:B30)</f>
        <v>3745316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B32" s="25"/>
    </row>
    <row r="33">
      <c r="A33" s="50" t="s">
        <v>336</v>
      </c>
    </row>
    <row r="34">
      <c r="A34" s="1" t="s">
        <v>52</v>
      </c>
      <c r="B34" s="25"/>
    </row>
    <row r="35">
      <c r="B35" s="25"/>
    </row>
    <row r="36">
      <c r="B36" s="25"/>
    </row>
    <row r="37">
      <c r="A37" s="1"/>
      <c r="B37" s="55"/>
    </row>
    <row r="38">
      <c r="A38" s="1"/>
      <c r="B38" s="55"/>
    </row>
    <row r="39">
      <c r="B39" s="25"/>
    </row>
    <row r="40">
      <c r="B40" s="25"/>
    </row>
    <row r="41">
      <c r="B41" s="25"/>
    </row>
    <row r="42">
      <c r="B42" s="25"/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  <row r="998">
      <c r="B998" s="25"/>
    </row>
    <row r="999">
      <c r="B999" s="25"/>
    </row>
    <row r="1000">
      <c r="B1000" s="25"/>
    </row>
    <row r="1001">
      <c r="B1001" s="25"/>
    </row>
    <row r="1002">
      <c r="B1002" s="25"/>
    </row>
    <row r="1003">
      <c r="B1003" s="25"/>
    </row>
    <row r="1004">
      <c r="B1004" s="25"/>
    </row>
    <row r="1005">
      <c r="B1005" s="25"/>
    </row>
    <row r="1006">
      <c r="B1006" s="25"/>
    </row>
  </sheetData>
  <mergeCells count="1">
    <mergeCell ref="A33:B33"/>
  </mergeCells>
  <hyperlinks>
    <hyperlink r:id="rId1" ref="A33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38.63"/>
  </cols>
  <sheetData>
    <row r="1">
      <c r="A1" s="17" t="s">
        <v>28</v>
      </c>
      <c r="B1" s="27" t="s">
        <v>53</v>
      </c>
    </row>
    <row r="2">
      <c r="A2" s="19" t="s">
        <v>54</v>
      </c>
      <c r="B2" s="20">
        <v>24700.0</v>
      </c>
    </row>
    <row r="3">
      <c r="A3" s="19" t="s">
        <v>34</v>
      </c>
      <c r="B3" s="20">
        <v>186485.0</v>
      </c>
    </row>
    <row r="4">
      <c r="A4" s="19" t="s">
        <v>33</v>
      </c>
      <c r="B4" s="20">
        <v>129543.0</v>
      </c>
    </row>
    <row r="5">
      <c r="A5" s="19" t="s">
        <v>337</v>
      </c>
      <c r="B5" s="20">
        <v>0.0</v>
      </c>
    </row>
    <row r="6">
      <c r="A6" s="19" t="s">
        <v>309</v>
      </c>
      <c r="B6" s="20">
        <v>2430119.0</v>
      </c>
    </row>
    <row r="7">
      <c r="A7" s="19" t="s">
        <v>338</v>
      </c>
      <c r="B7" s="20">
        <v>795348.0</v>
      </c>
    </row>
    <row r="8">
      <c r="A8" s="19" t="s">
        <v>55</v>
      </c>
      <c r="B8" s="20">
        <v>43346.0</v>
      </c>
    </row>
    <row r="9">
      <c r="A9" s="19" t="s">
        <v>339</v>
      </c>
      <c r="B9" s="20">
        <v>0.0</v>
      </c>
    </row>
    <row r="10">
      <c r="A10" s="19" t="s">
        <v>340</v>
      </c>
      <c r="B10" s="20">
        <v>0.0</v>
      </c>
    </row>
    <row r="11">
      <c r="A11" s="19" t="s">
        <v>341</v>
      </c>
      <c r="B11" s="20">
        <v>0.0</v>
      </c>
    </row>
    <row r="12">
      <c r="A12" s="19" t="s">
        <v>186</v>
      </c>
      <c r="B12" s="20">
        <v>241530.0</v>
      </c>
    </row>
    <row r="13">
      <c r="A13" s="19" t="s">
        <v>342</v>
      </c>
      <c r="B13" s="20">
        <v>324516.0</v>
      </c>
    </row>
    <row r="14">
      <c r="A14" s="19" t="s">
        <v>37</v>
      </c>
      <c r="B14" s="20">
        <v>232619.0</v>
      </c>
    </row>
    <row r="15">
      <c r="A15" s="19" t="s">
        <v>268</v>
      </c>
      <c r="B15" s="20">
        <v>1910697.0</v>
      </c>
    </row>
    <row r="16">
      <c r="A16" s="19" t="s">
        <v>315</v>
      </c>
      <c r="B16" s="20">
        <v>14365.0</v>
      </c>
    </row>
    <row r="17">
      <c r="A17" s="19" t="s">
        <v>316</v>
      </c>
      <c r="B17" s="20">
        <v>0.0</v>
      </c>
    </row>
    <row r="18">
      <c r="A18" s="19" t="s">
        <v>58</v>
      </c>
      <c r="B18" s="20">
        <v>39305.0</v>
      </c>
    </row>
    <row r="19">
      <c r="A19" s="19" t="s">
        <v>317</v>
      </c>
      <c r="B19" s="20">
        <v>99062.0</v>
      </c>
    </row>
    <row r="20">
      <c r="A20" s="19" t="s">
        <v>318</v>
      </c>
      <c r="B20" s="20">
        <v>936494.0</v>
      </c>
    </row>
    <row r="21">
      <c r="A21" s="19" t="s">
        <v>343</v>
      </c>
      <c r="B21" s="20">
        <v>9664.0</v>
      </c>
    </row>
    <row r="22">
      <c r="A22" s="19" t="s">
        <v>344</v>
      </c>
      <c r="B22" s="20">
        <v>0.0</v>
      </c>
    </row>
    <row r="23">
      <c r="A23" s="19" t="s">
        <v>328</v>
      </c>
      <c r="B23" s="20">
        <v>1140697.0</v>
      </c>
    </row>
    <row r="24">
      <c r="A24" s="19" t="s">
        <v>345</v>
      </c>
      <c r="B24" s="20">
        <v>0.0</v>
      </c>
    </row>
    <row r="25">
      <c r="A25" s="19" t="s">
        <v>346</v>
      </c>
      <c r="B25" s="20">
        <v>0.0</v>
      </c>
    </row>
    <row r="26">
      <c r="A26" s="21" t="s">
        <v>69</v>
      </c>
      <c r="B26" s="22">
        <f>SUM(B2:B25)</f>
        <v>8558490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B27" s="25"/>
    </row>
    <row r="28">
      <c r="A28" s="50" t="s">
        <v>347</v>
      </c>
    </row>
    <row r="29">
      <c r="A29" s="1" t="s">
        <v>52</v>
      </c>
      <c r="B29" s="25"/>
    </row>
    <row r="30">
      <c r="B30" s="25"/>
    </row>
    <row r="31">
      <c r="B31" s="25"/>
    </row>
    <row r="32">
      <c r="B32" s="25"/>
    </row>
    <row r="33">
      <c r="B33" s="25"/>
    </row>
    <row r="34">
      <c r="B34" s="25"/>
    </row>
    <row r="35">
      <c r="B35" s="25"/>
    </row>
    <row r="36">
      <c r="B36" s="25"/>
    </row>
    <row r="37">
      <c r="B37" s="25"/>
    </row>
    <row r="38">
      <c r="B38" s="25"/>
    </row>
    <row r="39">
      <c r="B39" s="25"/>
    </row>
    <row r="40">
      <c r="B40" s="25"/>
    </row>
    <row r="41">
      <c r="B41" s="25"/>
    </row>
    <row r="42">
      <c r="B42" s="25"/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  <row r="998">
      <c r="B998" s="25"/>
    </row>
    <row r="999">
      <c r="B999" s="25"/>
    </row>
    <row r="1000">
      <c r="B1000" s="25"/>
    </row>
    <row r="1001">
      <c r="B1001" s="25"/>
    </row>
  </sheetData>
  <mergeCells count="1">
    <mergeCell ref="A28:B28"/>
  </mergeCells>
  <hyperlinks>
    <hyperlink r:id="rId1" ref="A28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38.63"/>
  </cols>
  <sheetData>
    <row r="1">
      <c r="A1" s="17" t="s">
        <v>28</v>
      </c>
      <c r="B1" s="27" t="s">
        <v>53</v>
      </c>
    </row>
    <row r="2">
      <c r="A2" s="19" t="s">
        <v>54</v>
      </c>
      <c r="B2" s="20">
        <v>22000.0</v>
      </c>
    </row>
    <row r="3">
      <c r="A3" s="19" t="s">
        <v>34</v>
      </c>
      <c r="B3" s="20">
        <v>81023.0</v>
      </c>
    </row>
    <row r="4">
      <c r="A4" s="19" t="s">
        <v>33</v>
      </c>
      <c r="B4" s="20">
        <v>74313.0</v>
      </c>
    </row>
    <row r="5">
      <c r="A5" s="19" t="s">
        <v>309</v>
      </c>
      <c r="B5" s="20">
        <v>379395.0</v>
      </c>
    </row>
    <row r="6">
      <c r="A6" s="19" t="s">
        <v>348</v>
      </c>
      <c r="B6" s="20">
        <v>455519.0</v>
      </c>
    </row>
    <row r="7">
      <c r="A7" s="19" t="s">
        <v>55</v>
      </c>
      <c r="B7" s="20">
        <v>17175.0</v>
      </c>
    </row>
    <row r="8">
      <c r="A8" s="19" t="s">
        <v>339</v>
      </c>
      <c r="B8" s="20">
        <v>0.0</v>
      </c>
    </row>
    <row r="9">
      <c r="A9" s="19" t="s">
        <v>340</v>
      </c>
      <c r="B9" s="20">
        <v>0.0</v>
      </c>
    </row>
    <row r="10">
      <c r="A10" s="19" t="s">
        <v>341</v>
      </c>
      <c r="B10" s="20">
        <v>0.0</v>
      </c>
    </row>
    <row r="11">
      <c r="A11" s="19" t="s">
        <v>186</v>
      </c>
      <c r="B11" s="20">
        <v>127984.0</v>
      </c>
    </row>
    <row r="12">
      <c r="A12" s="19" t="s">
        <v>342</v>
      </c>
      <c r="B12" s="20">
        <v>91409.0</v>
      </c>
    </row>
    <row r="13">
      <c r="A13" s="19" t="s">
        <v>37</v>
      </c>
      <c r="B13" s="20">
        <v>45081.0</v>
      </c>
    </row>
    <row r="14">
      <c r="A14" s="19" t="s">
        <v>196</v>
      </c>
      <c r="B14" s="20">
        <v>615713.0</v>
      </c>
    </row>
    <row r="15">
      <c r="A15" s="19" t="s">
        <v>315</v>
      </c>
      <c r="B15" s="20">
        <v>28416.0</v>
      </c>
    </row>
    <row r="16">
      <c r="A16" s="19" t="s">
        <v>316</v>
      </c>
      <c r="B16" s="20">
        <v>46711.0</v>
      </c>
    </row>
    <row r="17">
      <c r="A17" s="19" t="s">
        <v>58</v>
      </c>
      <c r="B17" s="20">
        <v>15741.0</v>
      </c>
    </row>
    <row r="18">
      <c r="A18" s="19" t="s">
        <v>317</v>
      </c>
      <c r="B18" s="20">
        <v>41973.0</v>
      </c>
    </row>
    <row r="19">
      <c r="A19" s="19" t="s">
        <v>328</v>
      </c>
      <c r="B19" s="20">
        <v>379780.0</v>
      </c>
    </row>
    <row r="20">
      <c r="A20" s="21" t="s">
        <v>69</v>
      </c>
      <c r="B20" s="22">
        <f>SUM(B2:B19)</f>
        <v>2422233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B21" s="25"/>
    </row>
    <row r="22">
      <c r="A22" s="50" t="s">
        <v>349</v>
      </c>
    </row>
    <row r="23">
      <c r="A23" s="1" t="s">
        <v>52</v>
      </c>
      <c r="B23" s="25"/>
    </row>
    <row r="24">
      <c r="B24" s="25"/>
    </row>
    <row r="25">
      <c r="B25" s="25"/>
    </row>
    <row r="26">
      <c r="B26" s="25"/>
    </row>
    <row r="27">
      <c r="B27" s="25"/>
    </row>
    <row r="28">
      <c r="B28" s="25"/>
    </row>
    <row r="29">
      <c r="B29" s="25"/>
    </row>
    <row r="30">
      <c r="B30" s="25"/>
    </row>
    <row r="31">
      <c r="B31" s="25"/>
    </row>
    <row r="32">
      <c r="B32" s="25"/>
    </row>
    <row r="33">
      <c r="B33" s="25"/>
    </row>
    <row r="34">
      <c r="B34" s="25"/>
    </row>
    <row r="35">
      <c r="B35" s="25"/>
    </row>
    <row r="36">
      <c r="B36" s="25"/>
    </row>
    <row r="37">
      <c r="B37" s="25"/>
    </row>
    <row r="38">
      <c r="B38" s="25"/>
    </row>
    <row r="39">
      <c r="B39" s="25"/>
    </row>
    <row r="40">
      <c r="B40" s="25"/>
    </row>
    <row r="41">
      <c r="B41" s="25"/>
    </row>
    <row r="42">
      <c r="B42" s="25"/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</sheetData>
  <mergeCells count="1">
    <mergeCell ref="A22:B22"/>
  </mergeCells>
  <hyperlinks>
    <hyperlink r:id="rId1" ref="A22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38.63"/>
  </cols>
  <sheetData>
    <row r="1">
      <c r="A1" s="17" t="s">
        <v>28</v>
      </c>
      <c r="B1" s="27" t="s">
        <v>53</v>
      </c>
    </row>
    <row r="2">
      <c r="A2" s="19" t="s">
        <v>54</v>
      </c>
      <c r="B2" s="20">
        <v>17000.0</v>
      </c>
    </row>
    <row r="3">
      <c r="A3" s="19" t="s">
        <v>33</v>
      </c>
      <c r="B3" s="20">
        <v>58841.0</v>
      </c>
    </row>
    <row r="4">
      <c r="A4" s="19" t="s">
        <v>34</v>
      </c>
      <c r="B4" s="20">
        <v>83711.0</v>
      </c>
    </row>
    <row r="5">
      <c r="A5" s="19" t="s">
        <v>55</v>
      </c>
      <c r="B5" s="20">
        <v>23760.0</v>
      </c>
    </row>
    <row r="6">
      <c r="A6" s="19" t="s">
        <v>56</v>
      </c>
      <c r="B6" s="20">
        <v>64829.0</v>
      </c>
    </row>
    <row r="7">
      <c r="A7" s="19" t="s">
        <v>37</v>
      </c>
      <c r="B7" s="20">
        <v>79935.0</v>
      </c>
    </row>
    <row r="8">
      <c r="A8" s="19" t="s">
        <v>196</v>
      </c>
      <c r="B8" s="20">
        <v>482740.0</v>
      </c>
    </row>
    <row r="9">
      <c r="A9" s="19" t="s">
        <v>323</v>
      </c>
      <c r="B9" s="20">
        <v>14784.0</v>
      </c>
    </row>
    <row r="10">
      <c r="A10" s="19" t="s">
        <v>58</v>
      </c>
      <c r="B10" s="20">
        <v>29660.0</v>
      </c>
    </row>
    <row r="11">
      <c r="A11" s="19" t="s">
        <v>59</v>
      </c>
      <c r="B11" s="20">
        <v>4622.0</v>
      </c>
    </row>
    <row r="12">
      <c r="A12" s="19" t="s">
        <v>332</v>
      </c>
      <c r="B12" s="20">
        <v>21764.0</v>
      </c>
    </row>
    <row r="13">
      <c r="A13" s="19" t="s">
        <v>61</v>
      </c>
      <c r="B13" s="20">
        <v>3237.0</v>
      </c>
    </row>
    <row r="14">
      <c r="A14" s="19" t="s">
        <v>44</v>
      </c>
      <c r="B14" s="20">
        <v>510731.0</v>
      </c>
    </row>
    <row r="15">
      <c r="A15" s="19" t="s">
        <v>45</v>
      </c>
      <c r="B15" s="20">
        <v>23216.0</v>
      </c>
    </row>
    <row r="16">
      <c r="A16" s="19" t="s">
        <v>63</v>
      </c>
      <c r="B16" s="20">
        <v>56168.0</v>
      </c>
    </row>
    <row r="17">
      <c r="A17" s="19" t="s">
        <v>204</v>
      </c>
      <c r="B17" s="20">
        <v>3111.0</v>
      </c>
    </row>
    <row r="18">
      <c r="A18" s="19" t="s">
        <v>350</v>
      </c>
      <c r="B18" s="20">
        <v>7956.0</v>
      </c>
    </row>
    <row r="19">
      <c r="A19" s="19" t="s">
        <v>351</v>
      </c>
      <c r="B19" s="20">
        <v>362779.0</v>
      </c>
    </row>
    <row r="20">
      <c r="A20" s="19" t="s">
        <v>334</v>
      </c>
      <c r="B20" s="20">
        <v>1408.0</v>
      </c>
    </row>
    <row r="21">
      <c r="A21" s="19" t="s">
        <v>352</v>
      </c>
      <c r="B21" s="20">
        <v>4037.0</v>
      </c>
    </row>
    <row r="22">
      <c r="A22" s="21" t="s">
        <v>69</v>
      </c>
      <c r="B22" s="22">
        <f>SUM(B2:B21)</f>
        <v>1854289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B23" s="25"/>
    </row>
    <row r="24">
      <c r="A24" s="50" t="s">
        <v>353</v>
      </c>
    </row>
    <row r="25">
      <c r="A25" s="1" t="s">
        <v>52</v>
      </c>
      <c r="B25" s="25"/>
    </row>
    <row r="26">
      <c r="B26" s="25"/>
    </row>
    <row r="27">
      <c r="B27" s="25"/>
    </row>
    <row r="28">
      <c r="B28" s="25"/>
    </row>
    <row r="29">
      <c r="B29" s="25"/>
    </row>
    <row r="30">
      <c r="B30" s="25"/>
    </row>
    <row r="31">
      <c r="B31" s="25"/>
    </row>
    <row r="32">
      <c r="B32" s="25"/>
    </row>
    <row r="33">
      <c r="B33" s="25"/>
    </row>
    <row r="34">
      <c r="B34" s="25"/>
    </row>
    <row r="35">
      <c r="B35" s="25"/>
    </row>
    <row r="36">
      <c r="B36" s="25"/>
    </row>
    <row r="37">
      <c r="B37" s="25"/>
    </row>
    <row r="38">
      <c r="B38" s="25"/>
    </row>
    <row r="39">
      <c r="B39" s="25"/>
    </row>
    <row r="40">
      <c r="B40" s="25"/>
    </row>
    <row r="41">
      <c r="B41" s="25"/>
    </row>
    <row r="42">
      <c r="B42" s="25"/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</sheetData>
  <mergeCells count="1">
    <mergeCell ref="A24:B24"/>
  </mergeCells>
  <hyperlinks>
    <hyperlink r:id="rId1" ref="A2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38.63"/>
  </cols>
  <sheetData>
    <row r="1">
      <c r="A1" s="17" t="s">
        <v>28</v>
      </c>
      <c r="B1" s="27" t="s">
        <v>354</v>
      </c>
    </row>
    <row r="2">
      <c r="A2" s="19" t="s">
        <v>54</v>
      </c>
      <c r="B2" s="20">
        <v>13950.0</v>
      </c>
    </row>
    <row r="3">
      <c r="A3" s="19" t="s">
        <v>34</v>
      </c>
      <c r="B3" s="20">
        <v>76437.0</v>
      </c>
    </row>
    <row r="4">
      <c r="A4" s="19" t="s">
        <v>33</v>
      </c>
      <c r="B4" s="20">
        <v>42061.0</v>
      </c>
    </row>
    <row r="5">
      <c r="A5" s="19" t="s">
        <v>55</v>
      </c>
      <c r="B5" s="20">
        <v>25150.0</v>
      </c>
    </row>
    <row r="6">
      <c r="A6" s="19" t="s">
        <v>264</v>
      </c>
      <c r="B6" s="20">
        <v>145039.0</v>
      </c>
    </row>
    <row r="7">
      <c r="A7" s="19" t="s">
        <v>265</v>
      </c>
      <c r="B7" s="20">
        <v>27713.0</v>
      </c>
    </row>
    <row r="8">
      <c r="A8" s="19" t="s">
        <v>266</v>
      </c>
      <c r="B8" s="20">
        <v>24017.0</v>
      </c>
    </row>
    <row r="9">
      <c r="A9" s="19" t="s">
        <v>37</v>
      </c>
      <c r="B9" s="20">
        <v>136577.0</v>
      </c>
    </row>
    <row r="10">
      <c r="A10" s="19" t="s">
        <v>355</v>
      </c>
      <c r="B10" s="20">
        <v>40527.0</v>
      </c>
    </row>
    <row r="11">
      <c r="A11" s="19" t="s">
        <v>356</v>
      </c>
      <c r="B11" s="20">
        <v>828352.0</v>
      </c>
    </row>
    <row r="12">
      <c r="A12" s="19" t="s">
        <v>268</v>
      </c>
      <c r="B12" s="20">
        <v>823679.0</v>
      </c>
    </row>
    <row r="13">
      <c r="A13" s="19" t="s">
        <v>269</v>
      </c>
      <c r="B13" s="20">
        <v>67216.0</v>
      </c>
    </row>
    <row r="14">
      <c r="A14" s="19" t="s">
        <v>45</v>
      </c>
      <c r="B14" s="20">
        <v>44068.0</v>
      </c>
    </row>
    <row r="15">
      <c r="A15" s="19" t="s">
        <v>270</v>
      </c>
      <c r="B15" s="20">
        <v>69246.0</v>
      </c>
    </row>
    <row r="16">
      <c r="A16" s="19" t="s">
        <v>271</v>
      </c>
      <c r="B16" s="20">
        <v>31855.0</v>
      </c>
    </row>
    <row r="17">
      <c r="A17" s="19" t="s">
        <v>357</v>
      </c>
      <c r="B17" s="20">
        <v>5779.0</v>
      </c>
    </row>
    <row r="18">
      <c r="A18" s="19" t="s">
        <v>358</v>
      </c>
      <c r="B18" s="20">
        <v>80834.0</v>
      </c>
    </row>
    <row r="19">
      <c r="A19" s="19" t="s">
        <v>275</v>
      </c>
      <c r="B19" s="20">
        <v>389402.0</v>
      </c>
    </row>
    <row r="20">
      <c r="A20" s="19" t="s">
        <v>276</v>
      </c>
      <c r="B20" s="20">
        <v>15470.0</v>
      </c>
    </row>
    <row r="21">
      <c r="A21" s="19" t="s">
        <v>277</v>
      </c>
      <c r="B21" s="20">
        <v>22916.0</v>
      </c>
    </row>
    <row r="22">
      <c r="A22" s="19" t="s">
        <v>58</v>
      </c>
      <c r="B22" s="20">
        <v>38565.0</v>
      </c>
    </row>
    <row r="23">
      <c r="A23" s="19" t="s">
        <v>278</v>
      </c>
      <c r="B23" s="20">
        <v>6880.0</v>
      </c>
    </row>
    <row r="24">
      <c r="A24" s="19" t="s">
        <v>61</v>
      </c>
      <c r="B24" s="20">
        <v>29689.0</v>
      </c>
    </row>
    <row r="25">
      <c r="A25" s="19" t="s">
        <v>279</v>
      </c>
      <c r="B25" s="20">
        <v>322995.0</v>
      </c>
    </row>
    <row r="26">
      <c r="A26" s="19" t="s">
        <v>359</v>
      </c>
      <c r="B26" s="20">
        <v>199091.0</v>
      </c>
    </row>
    <row r="27">
      <c r="A27" s="19" t="s">
        <v>281</v>
      </c>
      <c r="B27" s="20">
        <v>990000.0</v>
      </c>
    </row>
    <row r="28">
      <c r="A28" s="19" t="s">
        <v>208</v>
      </c>
      <c r="B28" s="20">
        <v>997755.0</v>
      </c>
    </row>
    <row r="29">
      <c r="A29" s="19" t="s">
        <v>282</v>
      </c>
      <c r="B29" s="20">
        <v>5775.0</v>
      </c>
    </row>
    <row r="30">
      <c r="A30" s="21" t="s">
        <v>69</v>
      </c>
      <c r="B30" s="22">
        <f>SUM(B2:B29)</f>
        <v>5501038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B31" s="25"/>
    </row>
    <row r="32">
      <c r="A32" s="50" t="s">
        <v>360</v>
      </c>
    </row>
    <row r="33">
      <c r="A33" s="1" t="s">
        <v>52</v>
      </c>
      <c r="B33" s="25"/>
    </row>
    <row r="34">
      <c r="B34" s="25"/>
    </row>
    <row r="35">
      <c r="B35" s="25"/>
    </row>
    <row r="36">
      <c r="B36" s="25"/>
    </row>
    <row r="37">
      <c r="B37" s="25"/>
    </row>
    <row r="38">
      <c r="B38" s="25"/>
    </row>
    <row r="39">
      <c r="B39" s="25"/>
    </row>
    <row r="40">
      <c r="B40" s="25"/>
    </row>
    <row r="41">
      <c r="B41" s="25"/>
    </row>
    <row r="42">
      <c r="B42" s="25"/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  <row r="998">
      <c r="B998" s="25"/>
    </row>
    <row r="999">
      <c r="B999" s="25"/>
    </row>
    <row r="1000">
      <c r="B1000" s="25"/>
    </row>
    <row r="1001">
      <c r="B1001" s="25"/>
    </row>
    <row r="1002">
      <c r="B1002" s="25"/>
    </row>
    <row r="1003">
      <c r="B1003" s="25"/>
    </row>
    <row r="1004">
      <c r="B1004" s="25"/>
    </row>
    <row r="1005">
      <c r="B1005" s="25"/>
    </row>
  </sheetData>
  <mergeCells count="1">
    <mergeCell ref="A32:B32"/>
  </mergeCells>
  <hyperlinks>
    <hyperlink r:id="rId1" ref="A32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38.63"/>
  </cols>
  <sheetData>
    <row r="1">
      <c r="A1" s="17" t="s">
        <v>28</v>
      </c>
      <c r="B1" s="27" t="s">
        <v>53</v>
      </c>
    </row>
    <row r="2">
      <c r="A2" s="19" t="s">
        <v>54</v>
      </c>
      <c r="B2" s="20">
        <v>15500.0</v>
      </c>
    </row>
    <row r="3">
      <c r="A3" s="19" t="s">
        <v>33</v>
      </c>
      <c r="B3" s="20">
        <v>73982.0</v>
      </c>
    </row>
    <row r="4">
      <c r="A4" s="19" t="s">
        <v>34</v>
      </c>
      <c r="B4" s="20">
        <v>9580.0</v>
      </c>
    </row>
    <row r="5">
      <c r="A5" s="19" t="s">
        <v>36</v>
      </c>
      <c r="B5" s="20">
        <v>294495.0</v>
      </c>
    </row>
    <row r="6">
      <c r="A6" s="19" t="s">
        <v>327</v>
      </c>
      <c r="B6" s="20">
        <v>168722.0</v>
      </c>
    </row>
    <row r="7">
      <c r="A7" s="19" t="s">
        <v>55</v>
      </c>
      <c r="B7" s="20">
        <v>74481.0</v>
      </c>
    </row>
    <row r="8">
      <c r="A8" s="19" t="s">
        <v>56</v>
      </c>
      <c r="B8" s="20">
        <v>58392.0</v>
      </c>
    </row>
    <row r="9">
      <c r="A9" s="19" t="s">
        <v>328</v>
      </c>
      <c r="B9" s="20">
        <v>172592.0</v>
      </c>
    </row>
    <row r="10">
      <c r="A10" s="19" t="s">
        <v>361</v>
      </c>
      <c r="B10" s="20">
        <v>1117.0</v>
      </c>
    </row>
    <row r="11">
      <c r="A11" s="19" t="s">
        <v>329</v>
      </c>
      <c r="B11" s="20">
        <v>4408.0</v>
      </c>
    </row>
    <row r="12">
      <c r="A12" s="19" t="s">
        <v>330</v>
      </c>
      <c r="B12" s="20">
        <v>398.0</v>
      </c>
    </row>
    <row r="13">
      <c r="A13" s="19" t="s">
        <v>196</v>
      </c>
      <c r="B13" s="20">
        <v>157503.0</v>
      </c>
    </row>
    <row r="14">
      <c r="A14" s="19" t="s">
        <v>39</v>
      </c>
      <c r="B14" s="20">
        <v>26724.0</v>
      </c>
    </row>
    <row r="15">
      <c r="A15" s="19" t="s">
        <v>362</v>
      </c>
      <c r="B15" s="20">
        <v>5295.0</v>
      </c>
    </row>
    <row r="16">
      <c r="A16" s="19" t="s">
        <v>58</v>
      </c>
      <c r="B16" s="20">
        <v>17540.0</v>
      </c>
    </row>
    <row r="17">
      <c r="A17" s="19" t="s">
        <v>298</v>
      </c>
      <c r="B17" s="20">
        <v>135.0</v>
      </c>
    </row>
    <row r="18">
      <c r="A18" s="19" t="s">
        <v>59</v>
      </c>
      <c r="B18" s="20">
        <v>17743.0</v>
      </c>
    </row>
    <row r="19">
      <c r="A19" s="19" t="s">
        <v>165</v>
      </c>
      <c r="B19" s="20">
        <v>2044.0</v>
      </c>
    </row>
    <row r="20">
      <c r="A20" s="19" t="s">
        <v>332</v>
      </c>
      <c r="B20" s="20">
        <v>10820.0</v>
      </c>
    </row>
    <row r="21">
      <c r="A21" s="19" t="s">
        <v>61</v>
      </c>
      <c r="B21" s="20">
        <v>1788.0</v>
      </c>
    </row>
    <row r="22">
      <c r="A22" s="19" t="s">
        <v>44</v>
      </c>
      <c r="B22" s="20">
        <v>314916.0</v>
      </c>
    </row>
    <row r="23">
      <c r="A23" s="19" t="s">
        <v>63</v>
      </c>
      <c r="B23" s="20">
        <v>2714.0</v>
      </c>
    </row>
    <row r="24">
      <c r="A24" s="19" t="s">
        <v>204</v>
      </c>
      <c r="B24" s="20">
        <v>1882.0</v>
      </c>
    </row>
    <row r="25">
      <c r="A25" s="19" t="s">
        <v>333</v>
      </c>
      <c r="B25" s="20">
        <v>13999.0</v>
      </c>
    </row>
    <row r="26">
      <c r="A26" s="19" t="s">
        <v>334</v>
      </c>
      <c r="B26" s="20">
        <v>1979.0</v>
      </c>
    </row>
    <row r="27">
      <c r="A27" s="21" t="s">
        <v>69</v>
      </c>
      <c r="B27" s="22">
        <f>SUM(B2:B26)</f>
        <v>1448749</v>
      </c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B28" s="25"/>
    </row>
    <row r="29">
      <c r="A29" s="50" t="s">
        <v>363</v>
      </c>
    </row>
    <row r="30">
      <c r="A30" s="1" t="s">
        <v>52</v>
      </c>
      <c r="B30" s="25"/>
    </row>
    <row r="31">
      <c r="B31" s="25"/>
    </row>
    <row r="32">
      <c r="B32" s="25"/>
    </row>
    <row r="33">
      <c r="B33" s="25"/>
    </row>
    <row r="34">
      <c r="B34" s="25"/>
    </row>
    <row r="35">
      <c r="B35" s="25"/>
    </row>
    <row r="36">
      <c r="B36" s="25"/>
    </row>
    <row r="37">
      <c r="B37" s="25"/>
    </row>
    <row r="38">
      <c r="B38" s="25"/>
    </row>
    <row r="39">
      <c r="B39" s="25"/>
    </row>
    <row r="40">
      <c r="B40" s="25"/>
    </row>
    <row r="41">
      <c r="B41" s="25"/>
    </row>
    <row r="42">
      <c r="B42" s="25"/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  <row r="998">
      <c r="B998" s="25"/>
    </row>
    <row r="999">
      <c r="B999" s="25"/>
    </row>
    <row r="1000">
      <c r="B1000" s="25"/>
    </row>
    <row r="1001">
      <c r="B1001" s="25"/>
    </row>
    <row r="1002">
      <c r="B1002" s="25"/>
    </row>
  </sheetData>
  <mergeCells count="1">
    <mergeCell ref="A29:B29"/>
  </mergeCells>
  <hyperlinks>
    <hyperlink r:id="rId1" ref="A29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38.63"/>
  </cols>
  <sheetData>
    <row r="1">
      <c r="A1" s="17" t="s">
        <v>28</v>
      </c>
      <c r="B1" s="27" t="s">
        <v>53</v>
      </c>
    </row>
    <row r="2">
      <c r="A2" s="19" t="s">
        <v>54</v>
      </c>
      <c r="B2" s="20">
        <v>25000.0</v>
      </c>
    </row>
    <row r="3">
      <c r="A3" s="19" t="s">
        <v>33</v>
      </c>
      <c r="B3" s="20">
        <v>154897.0</v>
      </c>
    </row>
    <row r="4">
      <c r="A4" s="19" t="s">
        <v>34</v>
      </c>
      <c r="B4" s="20">
        <v>139006.0</v>
      </c>
    </row>
    <row r="5">
      <c r="A5" s="19" t="s">
        <v>36</v>
      </c>
      <c r="B5" s="20">
        <v>548562.0</v>
      </c>
    </row>
    <row r="6">
      <c r="A6" s="19" t="s">
        <v>55</v>
      </c>
      <c r="B6" s="20">
        <v>33799.0</v>
      </c>
    </row>
    <row r="7">
      <c r="A7" s="19" t="s">
        <v>186</v>
      </c>
      <c r="B7" s="20">
        <v>67000.0</v>
      </c>
    </row>
    <row r="8">
      <c r="A8" s="19" t="s">
        <v>328</v>
      </c>
      <c r="B8" s="20">
        <v>95885.0</v>
      </c>
    </row>
    <row r="9">
      <c r="A9" s="19" t="s">
        <v>37</v>
      </c>
      <c r="B9" s="20">
        <v>153701.0</v>
      </c>
    </row>
    <row r="10">
      <c r="A10" s="19" t="s">
        <v>364</v>
      </c>
      <c r="B10" s="20">
        <v>1169523.0</v>
      </c>
    </row>
    <row r="11">
      <c r="A11" s="19" t="s">
        <v>323</v>
      </c>
      <c r="B11" s="20">
        <v>21488.0</v>
      </c>
    </row>
    <row r="12">
      <c r="A12" s="19" t="s">
        <v>58</v>
      </c>
      <c r="B12" s="20">
        <v>9687.0</v>
      </c>
    </row>
    <row r="13">
      <c r="A13" s="19" t="s">
        <v>365</v>
      </c>
      <c r="B13" s="20">
        <v>10500.0</v>
      </c>
    </row>
    <row r="14">
      <c r="A14" s="19" t="s">
        <v>366</v>
      </c>
      <c r="B14" s="20">
        <v>12060.0</v>
      </c>
    </row>
    <row r="15">
      <c r="A15" s="19" t="s">
        <v>367</v>
      </c>
      <c r="B15" s="20">
        <v>3902.0</v>
      </c>
    </row>
    <row r="16">
      <c r="A16" s="19" t="s">
        <v>368</v>
      </c>
      <c r="B16" s="20">
        <v>6004.0</v>
      </c>
    </row>
    <row r="17">
      <c r="A17" s="19" t="s">
        <v>44</v>
      </c>
      <c r="B17" s="20">
        <v>1024680.0</v>
      </c>
    </row>
    <row r="18">
      <c r="A18" s="19" t="s">
        <v>45</v>
      </c>
      <c r="B18" s="20">
        <v>21281.0</v>
      </c>
    </row>
    <row r="19">
      <c r="A19" s="19" t="s">
        <v>63</v>
      </c>
      <c r="B19" s="20">
        <v>33449.0</v>
      </c>
    </row>
    <row r="20">
      <c r="A20" s="19" t="s">
        <v>334</v>
      </c>
      <c r="B20" s="20">
        <v>11341.0</v>
      </c>
    </row>
    <row r="21">
      <c r="A21" s="19" t="s">
        <v>68</v>
      </c>
      <c r="B21" s="20">
        <v>106953.0</v>
      </c>
    </row>
    <row r="22">
      <c r="A22" s="19" t="s">
        <v>335</v>
      </c>
      <c r="B22" s="20">
        <v>18369.0</v>
      </c>
    </row>
    <row r="23">
      <c r="A23" s="21" t="s">
        <v>69</v>
      </c>
      <c r="B23" s="22">
        <f>SUM(B2:B22)</f>
        <v>3667087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B24" s="25"/>
    </row>
    <row r="25">
      <c r="A25" s="50" t="s">
        <v>369</v>
      </c>
    </row>
    <row r="26">
      <c r="A26" s="1" t="s">
        <v>52</v>
      </c>
      <c r="B26" s="25"/>
    </row>
    <row r="27">
      <c r="B27" s="25"/>
    </row>
    <row r="28">
      <c r="B28" s="25"/>
    </row>
    <row r="29">
      <c r="B29" s="25"/>
    </row>
    <row r="30">
      <c r="B30" s="25"/>
    </row>
    <row r="31">
      <c r="B31" s="25"/>
      <c r="D31" s="56"/>
    </row>
    <row r="32">
      <c r="B32" s="25"/>
    </row>
    <row r="33">
      <c r="B33" s="25"/>
    </row>
    <row r="34">
      <c r="B34" s="25"/>
    </row>
    <row r="35">
      <c r="B35" s="25"/>
    </row>
    <row r="36">
      <c r="B36" s="25"/>
    </row>
    <row r="37">
      <c r="B37" s="25"/>
    </row>
    <row r="38">
      <c r="B38" s="25"/>
    </row>
    <row r="39">
      <c r="B39" s="25"/>
    </row>
    <row r="40">
      <c r="B40" s="25"/>
    </row>
    <row r="41">
      <c r="B41" s="25"/>
    </row>
    <row r="42">
      <c r="B42" s="25"/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  <row r="998">
      <c r="B998" s="25"/>
    </row>
  </sheetData>
  <mergeCells count="1">
    <mergeCell ref="A25:B25"/>
  </mergeCells>
  <hyperlinks>
    <hyperlink r:id="rId1" ref="A25"/>
  </hyperlinks>
  <drawing r:id="rId2"/>
</worksheet>
</file>